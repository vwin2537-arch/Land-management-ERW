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งานแก้ไขปัญหาที่ดิน\12งานปี69\2กิจกรรมตรวจสอบคุณสมบัติบุคคล\ประชุมซักซ้อมความเข้าใขการตรวจสอบคุณสมบัตื\AE\แบบฟอร์มตรวจสอบคุณสมบัติ\"/>
    </mc:Choice>
  </mc:AlternateContent>
  <xr:revisionPtr revIDLastSave="0" documentId="13_ncr:1_{869E0D13-7796-4D86-8B01-651211584031}" xr6:coauthVersionLast="36" xr6:coauthVersionMax="47" xr10:uidLastSave="{00000000-0000-0000-0000-000000000000}"/>
  <bookViews>
    <workbookView xWindow="0" yWindow="0" windowWidth="13500" windowHeight="8055" activeTab="1" xr2:uid="{8E076356-CF85-422C-BEA8-0C5493DCF515}"/>
  </bookViews>
  <sheets>
    <sheet name="6-3Newตัวอย่าง" sheetId="13" r:id="rId1"/>
    <sheet name="6-2new (2)" sheetId="12" r:id="rId2"/>
    <sheet name="6-1new ตัวอย่าง" sheetId="11" r:id="rId3"/>
    <sheet name="6-1new" sheetId="5" r:id="rId4"/>
    <sheet name="6-2new" sheetId="10" r:id="rId5"/>
    <sheet name="6-3New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8" i="11" l="1"/>
  <c r="M10" i="11"/>
  <c r="M11" i="11"/>
  <c r="M12" i="11"/>
  <c r="M13" i="11"/>
  <c r="M14" i="11"/>
  <c r="M15" i="11"/>
  <c r="M16" i="11"/>
  <c r="M17" i="11"/>
  <c r="M9" i="11"/>
  <c r="J39" i="13"/>
  <c r="I39" i="13"/>
  <c r="H39" i="13"/>
  <c r="J11" i="13"/>
  <c r="I11" i="13"/>
  <c r="H11" i="13"/>
  <c r="I19" i="11"/>
  <c r="J19" i="11"/>
  <c r="K19" i="11"/>
  <c r="J20" i="11" l="1"/>
  <c r="K20" i="11"/>
  <c r="I20" i="11"/>
</calcChain>
</file>

<file path=xl/sharedStrings.xml><?xml version="1.0" encoding="utf-8"?>
<sst xmlns="http://schemas.openxmlformats.org/spreadsheetml/2006/main" count="347" uniqueCount="99">
  <si>
    <t>ลำดับที่</t>
  </si>
  <si>
    <t>ชื่อ</t>
  </si>
  <si>
    <t>นามสกุล</t>
  </si>
  <si>
    <t>เลขประจำตัวประชาชน</t>
  </si>
  <si>
    <t>ที่ดินเลขที่</t>
  </si>
  <si>
    <t>เขตสำรวจที่</t>
  </si>
  <si>
    <t>ไร่</t>
  </si>
  <si>
    <t>งาน</t>
  </si>
  <si>
    <t>ตารางวา</t>
  </si>
  <si>
    <t>หมายเหตุ</t>
  </si>
  <si>
    <t>คำนำ
หน้าชื่อ</t>
  </si>
  <si>
    <t>ที่ดินสำรวจ
เลขที่</t>
  </si>
  <si>
    <t>ท้องที่หมู่บ้าน....................................................หมู่ที่.............................ตำบล..............................................อำเภอ..........................................จังหวัด...................................</t>
  </si>
  <si>
    <t xml:space="preserve">                                                            </t>
  </si>
  <si>
    <t>หัวหน้า.....................(ชื่อป่าอนุรักษ์).....................</t>
  </si>
  <si>
    <t>เขตโครงการอนุรักษ์และดูแลรักษาทรัพยากรธรรมชาติที่................................</t>
  </si>
  <si>
    <t>ภายใต้โครงการอนุรักษ์และดูแลรักษาทรัพยากรธรรมชาติภายใน.......................(ชื่อป่าอนุรักษ์).......................รหัสป่าอนุรักษ์......................</t>
  </si>
  <si>
    <t>บัญชีรายชื่อผู้อยู่อาศัยหรือทำกิน ประเภทสมาชิกในครอบครัวหรือครัวเรือน</t>
  </si>
  <si>
    <t>บัญชีรายชื่อผู้อยู่อาศัยหรือทำกิน ประเภทผู้ครอบครองที่ดิน</t>
  </si>
  <si>
    <t xml:space="preserve">         </t>
  </si>
  <si>
    <t>ที่ดินเลขที่/ชื่อผู้ครอบครองที่ดิน</t>
  </si>
  <si>
    <t>รวมทั้งสิ้น....................................ราย</t>
  </si>
  <si>
    <t>บัญชีรายชื่อผู้ครอบครองที่ดินที่ไม่ผ่านการตรวจสอบคุณสมบัติให้อยู่อาศัยหรือทำกิน</t>
  </si>
  <si>
    <t>ตำแหน่ง..............................................................</t>
  </si>
  <si>
    <t>เนื้อที่ประมาณ</t>
  </si>
  <si>
    <t>และได้ขอเข้าร่วมดำเนินการกับชุมชนในพื้นที่โครงการ ตามพระราชกฤษฎีกาฯ มาตรา 19 เช่น 40002 เป็นต้น</t>
  </si>
  <si>
    <t xml:space="preserve">          รวมทั้งสิ้น....................................ราย....................................แปลง เนื้อที่ประมาณ..............................................................................</t>
  </si>
  <si>
    <t>รวมทั้งสิ้น....................................ราย....................................แปลง เนื้อที่ประมาณ...............................................................</t>
  </si>
  <si>
    <t>แบบ อส. 6 - 1</t>
  </si>
  <si>
    <t>(ลงชื่อ) ...................................................................คณะทำงานและเลขานุการ</t>
  </si>
  <si>
    <t>(ลงชื่อ) ..................................................................หัวหน้าคณะทำงาน</t>
  </si>
  <si>
    <t xml:space="preserve">        (..................................................................)</t>
  </si>
  <si>
    <t xml:space="preserve"> แบบ อส. 6 - 3</t>
  </si>
  <si>
    <t>มติ ครม. เมื่อวันที่ 30 มิถุนายน 2541 (ผู้ครอบครองบริเวณที่ดินเดิม) เช่น 10001 10003 … เป็นต้น</t>
  </si>
  <si>
    <t>คำสั่ง คสช. ที่ 66/2557 (ไม่ใช่ผู้ครอบครองบริเวณที่ดินเดิม)  เช่น 20002 20004 ... เป็นต้น</t>
  </si>
  <si>
    <t>แบบ อส. 6 - 2</t>
  </si>
  <si>
    <t>สมาชิกในครอบครัวหรือครัวเรือน เป็นรายชื่อตามผลการสำรวจการครอบครองที่ดิน (แบบ อส. 2)</t>
  </si>
  <si>
    <t>หรือนับแต่วันที่วันสิ้นสุดการอยู่อาศัยหรือทำกิน</t>
  </si>
  <si>
    <t>1. ให้ผู้ที่ไม่ผ่านการตรวจสอบคุณสมบัติ ออกจากพื้นที่ที่ได้ดำเนินการสำรวจการครอบครองที่ดิน</t>
  </si>
  <si>
    <t xml:space="preserve">   ตามหลักเกณฑ์ วิธีการและเงื่อนไข ที่อธิบดีประกาศกำหนด</t>
  </si>
  <si>
    <t>แต่มีเนื้อที่เกิน 20 ไร่ และได้บริหารจัดการพื้นที่ให้แก่ครัวเรือนของผู้ครอบครองที่ดิน เช่น 30002 เป็นต้น</t>
  </si>
  <si>
    <t>2. หากไม่มีผู้ไม่ผ่านการตรวจสอบคุณสมบัติ ให้ขีดขวางตารางและระบุว่า "ไม่มี"</t>
  </si>
  <si>
    <t xml:space="preserve">หากมีการเปลี่ยนแปลงเพิ่มขึ้นหรือลดลง หรือสิ้นสุดการอยู่อาศัยหรือทำกินตามพระราชกฤษฎีกาฯ มาตรา 13 </t>
  </si>
  <si>
    <t>ให้ผู้ครอบครองที่ดินแจ้งหัวหน้า........(ชื่อป่าอนุรักษ์).......... ภายใน 30 วัน นับแต่วันที่มีการเปลี่ยนแปลงเพิ่มขึ้นหรือลดลง</t>
  </si>
  <si>
    <t>1. ที่ดินเลขที่ขึ้นต้นด้วยเลข 1 หมายถึง แปลงที่ดินตามกรอบเวลา</t>
  </si>
  <si>
    <t>2. ที่ดินเลขที่ขึ้นต้นด้วยเลข 2 หมายถึง แปลงที่ดินตามกรอบเวลา</t>
  </si>
  <si>
    <t>3. ที่ดินเลขที่ขึ้นต้นด้วยเลข 3 หมายถึง แปลงที่ดินของผู้ครอบครองที่ดินที่ขึ้นต้นด้วยเลข 1 หรือ 2</t>
  </si>
  <si>
    <t xml:space="preserve">4. ที่ดินเลขที่ขึ้นต้นด้วยเลข 4 หมายถึง แปลงที่ดินของผู้ครอบครองที่ดินที่มีเนื้อที่เกิน 40 ไร่ </t>
  </si>
  <si>
    <t>5. ช่องหมายเหตุ หากแปลงที่ดินอยู่ในเขตพื้นที่ต้นน้ำลำธาร ให้ระบุว่า "พื้นที่ลุ่มน้ำชั้นที่ 1" หรือ "พื้นที่ลุ่มน้ำชั้นที่ 2"</t>
  </si>
  <si>
    <t>นาย</t>
  </si>
  <si>
    <t>กอ</t>
  </si>
  <si>
    <t>ยินดี</t>
  </si>
  <si>
    <t>xxxxxxxxxxxxx</t>
  </si>
  <si>
    <t>00001</t>
  </si>
  <si>
    <t>ขอ</t>
  </si>
  <si>
    <t>ปรีดา</t>
  </si>
  <si>
    <t>00002</t>
  </si>
  <si>
    <t>คอ</t>
  </si>
  <si>
    <t>สนใจ</t>
  </si>
  <si>
    <t>00003</t>
  </si>
  <si>
    <t>นาง</t>
  </si>
  <si>
    <t>งอ</t>
  </si>
  <si>
    <t>น่ารัก</t>
  </si>
  <si>
    <t>00004</t>
  </si>
  <si>
    <t>จอ</t>
  </si>
  <si>
    <t>สดใส</t>
  </si>
  <si>
    <t>00005</t>
  </si>
  <si>
    <t>ฉอ</t>
  </si>
  <si>
    <t>สดชื่น</t>
  </si>
  <si>
    <t>00006</t>
  </si>
  <si>
    <t>ฌอ</t>
  </si>
  <si>
    <t>งดงาม</t>
  </si>
  <si>
    <t>00007</t>
  </si>
  <si>
    <t>พื้นที่ลุ่มน้ำชั้นที่ 1</t>
  </si>
  <si>
    <t>เอ็ก</t>
  </si>
  <si>
    <t>ดำ</t>
  </si>
  <si>
    <t>แดง</t>
  </si>
  <si>
    <t>ล่อแหลม/แปลงคดี</t>
  </si>
  <si>
    <t>10001/นายกอ ยินดี</t>
  </si>
  <si>
    <t>30001/นายเอ็ก ยินดี</t>
  </si>
  <si>
    <t>10002/นายขอ ปรีดา</t>
  </si>
  <si>
    <t>30002/นายดำ ปรีดา</t>
  </si>
  <si>
    <t>40002/นายขอ ปรีดา</t>
  </si>
  <si>
    <t>20003/นายคอ สนใจ</t>
  </si>
  <si>
    <t>30003/นางแดง สนใจ</t>
  </si>
  <si>
    <t>20004/นางงอ น่ารัก</t>
  </si>
  <si>
    <t>10005/นางจอ สดใส</t>
  </si>
  <si>
    <t>10006/นางฉอ สดชื่น</t>
  </si>
  <si>
    <t>จีน</t>
  </si>
  <si>
    <t>xxxxxxxxxxx</t>
  </si>
  <si>
    <t>ส้ม</t>
  </si>
  <si>
    <t>ด.ช.</t>
  </si>
  <si>
    <t>แตงโม</t>
  </si>
  <si>
    <t>จิตดี</t>
  </si>
  <si>
    <t>อารมณ์</t>
  </si>
  <si>
    <t>นางสาว</t>
  </si>
  <si>
    <t>มานัส</t>
  </si>
  <si>
    <t>รวมทั้งสิ้น..................28..................ราย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</si>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</sst>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222"/>
      <scheme val="minor"/>
    </font>
    <font>
      <sz val="16"/>
      <name val="TH Sarabun New"/>
      <family val="2"/>
    </font>
    <font>
      <b/>
      <sz val="16"/>
      <name val="TH Sarabun New"/>
      <family val="2"/>
    </font>
    <font>
      <b/>
      <u/>
      <sz val="16"/>
      <name val="TH Sarabun New"/>
      <family val="2"/>
    </font>
    <font>
      <sz val="16"/>
      <color theme="1"/>
      <name val="TH SarabunIT๙"/>
      <family val="2"/>
    </font>
    <font>
      <sz val="16"/>
      <name val="TH SarabunIT๙"/>
      <family val="2"/>
    </font>
    <font>
      <b/>
      <sz val="16"/>
      <name val="TH SarabunIT๙"/>
      <family val="2"/>
    </font>
    <font>
      <b/>
      <u/>
      <sz val="16"/>
      <name val="TH SarabunIT๙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3" fillId="0" borderId="0" xfId="0" applyFont="1"/>
    <xf numFmtId="0" fontId="1" fillId="0" borderId="0" xfId="0" quotePrefix="1" applyFont="1"/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/>
    <xf numFmtId="0" fontId="1" fillId="0" borderId="0" xfId="0" applyFont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1" fontId="4" fillId="0" borderId="1" xfId="0" applyNumberFormat="1" applyFont="1" applyFill="1" applyBorder="1" applyAlignment="1">
      <alignment horizontal="center"/>
    </xf>
    <xf numFmtId="49" fontId="4" fillId="0" borderId="1" xfId="0" quotePrefix="1" applyNumberFormat="1" applyFont="1" applyFill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/>
    <xf numFmtId="0" fontId="7" fillId="0" borderId="0" xfId="0" applyFont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" fillId="0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" fontId="4" fillId="0" borderId="3" xfId="0" applyNumberFormat="1" applyFont="1" applyFill="1" applyBorder="1" applyAlignment="1">
      <alignment horizontal="center"/>
    </xf>
    <xf numFmtId="49" fontId="4" fillId="0" borderId="3" xfId="0" quotePrefix="1" applyNumberFormat="1" applyFont="1" applyFill="1" applyBorder="1" applyAlignment="1">
      <alignment horizontal="center"/>
    </xf>
    <xf numFmtId="49" fontId="4" fillId="0" borderId="4" xfId="0" quotePrefix="1" applyNumberFormat="1" applyFont="1" applyFill="1" applyBorder="1" applyAlignment="1">
      <alignment horizontal="center"/>
    </xf>
    <xf numFmtId="0" fontId="1" fillId="0" borderId="1" xfId="0" applyFont="1" applyFill="1" applyBorder="1"/>
    <xf numFmtId="0" fontId="3" fillId="0" borderId="0" xfId="0" applyFont="1" applyFill="1"/>
    <xf numFmtId="0" fontId="1" fillId="0" borderId="0" xfId="0" quotePrefix="1" applyFont="1" applyFill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5" fillId="0" borderId="2" xfId="0" applyFont="1" applyBorder="1" applyAlignment="1">
      <alignment horizontal="right"/>
    </xf>
    <xf numFmtId="0" fontId="5" fillId="0" borderId="3" xfId="0" applyFont="1" applyBorder="1" applyAlignment="1">
      <alignment horizontal="right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left"/>
    </xf>
    <xf numFmtId="0" fontId="1" fillId="0" borderId="3" xfId="0" applyFont="1" applyFill="1" applyBorder="1" applyAlignment="1">
      <alignment horizontal="left"/>
    </xf>
    <xf numFmtId="0" fontId="1" fillId="0" borderId="4" xfId="0" applyFont="1" applyFill="1" applyBorder="1" applyAlignment="1">
      <alignment horizontal="left"/>
    </xf>
    <xf numFmtId="0" fontId="2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29</xdr:row>
      <xdr:rowOff>38100</xdr:rowOff>
    </xdr:from>
    <xdr:to>
      <xdr:col>10</xdr:col>
      <xdr:colOff>1095375</xdr:colOff>
      <xdr:row>36</xdr:row>
      <xdr:rowOff>238125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54FA569-28EE-4999-95B2-5B8F8CAB2EA8}"/>
            </a:ext>
          </a:extLst>
        </xdr:cNvPr>
        <xdr:cNvCxnSpPr/>
      </xdr:nvCxnSpPr>
      <xdr:spPr>
        <a:xfrm flipV="1">
          <a:off x="9525" y="7343775"/>
          <a:ext cx="9182100" cy="20002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4</xdr:col>
      <xdr:colOff>1880366</xdr:colOff>
      <xdr:row>32</xdr:row>
      <xdr:rowOff>48217</xdr:rowOff>
    </xdr:from>
    <xdr:ext cx="398892" cy="36542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49FB2FB-AA43-460F-A189-E8AF6E518FB4}"/>
            </a:ext>
          </a:extLst>
        </xdr:cNvPr>
        <xdr:cNvSpPr txBox="1"/>
      </xdr:nvSpPr>
      <xdr:spPr>
        <a:xfrm rot="20828802">
          <a:off x="4556891" y="8125417"/>
          <a:ext cx="398892" cy="365421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1600">
              <a:latin typeface="TH Sarabun New" panose="020B0500040200020003" pitchFamily="34" charset="-34"/>
              <a:cs typeface="TH Sarabun New" panose="020B0500040200020003" pitchFamily="34" charset="-34"/>
            </a:rPr>
            <a:t>ไม่มี</a:t>
          </a:r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7CEB9-E728-4DE6-9F05-34A914DC6E30}">
  <sheetPr>
    <pageSetUpPr fitToPage="1"/>
  </sheetPr>
  <dimension ref="A1:L46"/>
  <sheetViews>
    <sheetView topLeftCell="A26" workbookViewId="0">
      <selection activeCell="K35" sqref="K35"/>
    </sheetView>
  </sheetViews>
  <sheetFormatPr defaultColWidth="9" defaultRowHeight="20.25"/>
  <cols>
    <col min="1" max="1" width="7.42578125" style="18" customWidth="1"/>
    <col min="2" max="2" width="8.42578125" style="18" customWidth="1"/>
    <col min="3" max="3" width="11.7109375" style="18" customWidth="1"/>
    <col min="4" max="4" width="12.5703125" style="18" customWidth="1"/>
    <col min="5" max="5" width="37.5703125" style="18" customWidth="1"/>
    <col min="6" max="6" width="11.28515625" style="18" customWidth="1"/>
    <col min="7" max="7" width="11.85546875" style="18" customWidth="1"/>
    <col min="8" max="8" width="6.42578125" style="18" customWidth="1"/>
    <col min="9" max="9" width="6.140625" style="18" customWidth="1"/>
    <col min="10" max="10" width="8" style="18" bestFit="1" customWidth="1"/>
    <col min="11" max="11" width="16.5703125" style="18" customWidth="1"/>
    <col min="12" max="16384" width="9" style="18"/>
  </cols>
  <sheetData>
    <row r="1" spans="1:12">
      <c r="K1" s="19" t="s">
        <v>32</v>
      </c>
    </row>
    <row r="2" spans="1:12">
      <c r="A2" s="41" t="s">
        <v>22</v>
      </c>
      <c r="B2" s="41"/>
      <c r="C2" s="41"/>
      <c r="D2" s="41"/>
      <c r="E2" s="41"/>
      <c r="F2" s="41"/>
      <c r="G2" s="41"/>
      <c r="H2" s="41"/>
      <c r="I2" s="41"/>
      <c r="J2" s="41"/>
      <c r="K2" s="41"/>
    </row>
    <row r="3" spans="1:12">
      <c r="A3" s="42" t="s">
        <v>16</v>
      </c>
      <c r="B3" s="42"/>
      <c r="C3" s="42"/>
      <c r="D3" s="42"/>
      <c r="E3" s="42"/>
      <c r="F3" s="42"/>
      <c r="G3" s="42"/>
      <c r="H3" s="42"/>
      <c r="I3" s="42"/>
      <c r="J3" s="42"/>
      <c r="K3" s="42"/>
    </row>
    <row r="4" spans="1:12">
      <c r="A4" s="42" t="s">
        <v>12</v>
      </c>
      <c r="B4" s="42"/>
      <c r="C4" s="42"/>
      <c r="D4" s="42"/>
      <c r="E4" s="42"/>
      <c r="F4" s="42"/>
      <c r="G4" s="42"/>
      <c r="H4" s="42"/>
      <c r="I4" s="42"/>
      <c r="J4" s="42"/>
      <c r="K4" s="42"/>
    </row>
    <row r="5" spans="1:12">
      <c r="A5" s="42" t="s">
        <v>15</v>
      </c>
      <c r="B5" s="42"/>
      <c r="C5" s="42"/>
      <c r="D5" s="42"/>
      <c r="E5" s="42"/>
      <c r="F5" s="42"/>
      <c r="G5" s="42"/>
      <c r="H5" s="42"/>
      <c r="I5" s="42"/>
      <c r="J5" s="42"/>
      <c r="K5" s="42"/>
    </row>
    <row r="7" spans="1:12" ht="28.5" customHeight="1">
      <c r="A7" s="43" t="s">
        <v>0</v>
      </c>
      <c r="B7" s="44" t="s">
        <v>10</v>
      </c>
      <c r="C7" s="43" t="s">
        <v>1</v>
      </c>
      <c r="D7" s="43" t="s">
        <v>2</v>
      </c>
      <c r="E7" s="43" t="s">
        <v>3</v>
      </c>
      <c r="F7" s="43" t="s">
        <v>5</v>
      </c>
      <c r="G7" s="44" t="s">
        <v>11</v>
      </c>
      <c r="H7" s="43" t="s">
        <v>24</v>
      </c>
      <c r="I7" s="43"/>
      <c r="J7" s="43"/>
      <c r="K7" s="43" t="s">
        <v>9</v>
      </c>
      <c r="L7" s="20"/>
    </row>
    <row r="8" spans="1:12">
      <c r="A8" s="43"/>
      <c r="B8" s="44"/>
      <c r="C8" s="43"/>
      <c r="D8" s="43"/>
      <c r="E8" s="43"/>
      <c r="F8" s="43"/>
      <c r="G8" s="44"/>
      <c r="H8" s="21" t="s">
        <v>6</v>
      </c>
      <c r="I8" s="21" t="s">
        <v>7</v>
      </c>
      <c r="J8" s="21" t="s">
        <v>8</v>
      </c>
      <c r="K8" s="43"/>
      <c r="L8" s="20"/>
    </row>
    <row r="9" spans="1:12">
      <c r="A9" s="24">
        <v>1</v>
      </c>
      <c r="B9" s="24" t="s">
        <v>60</v>
      </c>
      <c r="C9" s="24" t="s">
        <v>70</v>
      </c>
      <c r="D9" s="24" t="s">
        <v>71</v>
      </c>
      <c r="E9" s="24" t="s">
        <v>52</v>
      </c>
      <c r="F9" s="24" t="s">
        <v>53</v>
      </c>
      <c r="G9" s="24" t="s">
        <v>72</v>
      </c>
      <c r="H9" s="24">
        <v>5</v>
      </c>
      <c r="I9" s="24">
        <v>1</v>
      </c>
      <c r="J9" s="24">
        <v>11</v>
      </c>
      <c r="K9" s="24" t="s">
        <v>77</v>
      </c>
    </row>
    <row r="10" spans="1:12" hidden="1">
      <c r="A10" s="22"/>
      <c r="B10" s="22"/>
      <c r="C10" s="22"/>
      <c r="D10" s="22"/>
      <c r="E10" s="22"/>
      <c r="F10" s="22"/>
      <c r="G10" s="22"/>
      <c r="H10" s="22">
        <v>5</v>
      </c>
      <c r="I10" s="22">
        <v>1</v>
      </c>
      <c r="J10" s="22">
        <v>11</v>
      </c>
      <c r="K10" s="22"/>
    </row>
    <row r="11" spans="1:12">
      <c r="A11" s="45" t="s">
        <v>27</v>
      </c>
      <c r="B11" s="46"/>
      <c r="C11" s="46"/>
      <c r="D11" s="46"/>
      <c r="E11" s="46"/>
      <c r="F11" s="46"/>
      <c r="G11" s="47"/>
      <c r="H11" s="14">
        <f>(TRUNC((TRUNC(J10/100)+I10)/4))+H10</f>
        <v>5</v>
      </c>
      <c r="I11" s="13">
        <f>MOD((TRUNC(J10/100)+I10),4)</f>
        <v>1</v>
      </c>
      <c r="J11" s="13">
        <f>MOD(J10,100)</f>
        <v>11</v>
      </c>
      <c r="K11" s="22"/>
    </row>
    <row r="13" spans="1:12">
      <c r="A13" s="23" t="s">
        <v>9</v>
      </c>
      <c r="F13" s="18" t="s">
        <v>30</v>
      </c>
    </row>
    <row r="14" spans="1:12">
      <c r="A14" s="18" t="s">
        <v>38</v>
      </c>
      <c r="F14" s="18" t="s">
        <v>31</v>
      </c>
    </row>
    <row r="15" spans="1:12">
      <c r="A15" s="18" t="s">
        <v>39</v>
      </c>
      <c r="F15" s="18" t="s">
        <v>23</v>
      </c>
    </row>
    <row r="16" spans="1:12">
      <c r="A16" s="18" t="s">
        <v>41</v>
      </c>
      <c r="F16" s="18" t="s">
        <v>29</v>
      </c>
    </row>
    <row r="17" spans="1:11">
      <c r="F17" s="18" t="s">
        <v>31</v>
      </c>
    </row>
    <row r="18" spans="1:11">
      <c r="F18" s="18" t="s">
        <v>14</v>
      </c>
    </row>
    <row r="19" spans="1:11">
      <c r="A19" s="48" t="s">
        <v>13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</row>
    <row r="22" spans="1:11">
      <c r="K22" s="19" t="s">
        <v>32</v>
      </c>
    </row>
    <row r="23" spans="1:11">
      <c r="A23" s="41" t="s">
        <v>22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</row>
    <row r="24" spans="1:11">
      <c r="A24" s="42" t="s">
        <v>16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</row>
    <row r="25" spans="1:11">
      <c r="A25" s="42" t="s">
        <v>12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</row>
    <row r="26" spans="1:11">
      <c r="A26" s="42" t="s">
        <v>15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</row>
    <row r="28" spans="1:11">
      <c r="A28" s="43" t="s">
        <v>0</v>
      </c>
      <c r="B28" s="44" t="s">
        <v>10</v>
      </c>
      <c r="C28" s="43" t="s">
        <v>1</v>
      </c>
      <c r="D28" s="43" t="s">
        <v>2</v>
      </c>
      <c r="E28" s="43" t="s">
        <v>3</v>
      </c>
      <c r="F28" s="43" t="s">
        <v>5</v>
      </c>
      <c r="G28" s="44" t="s">
        <v>11</v>
      </c>
      <c r="H28" s="43" t="s">
        <v>24</v>
      </c>
      <c r="I28" s="43"/>
      <c r="J28" s="43"/>
      <c r="K28" s="43" t="s">
        <v>9</v>
      </c>
    </row>
    <row r="29" spans="1:11">
      <c r="A29" s="43"/>
      <c r="B29" s="44"/>
      <c r="C29" s="43"/>
      <c r="D29" s="43"/>
      <c r="E29" s="43"/>
      <c r="F29" s="43"/>
      <c r="G29" s="44"/>
      <c r="H29" s="21" t="s">
        <v>6</v>
      </c>
      <c r="I29" s="21" t="s">
        <v>7</v>
      </c>
      <c r="J29" s="21" t="s">
        <v>8</v>
      </c>
      <c r="K29" s="43"/>
    </row>
    <row r="30" spans="1:11">
      <c r="A30" s="21"/>
      <c r="B30" s="25"/>
      <c r="C30" s="21"/>
      <c r="D30" s="21"/>
      <c r="E30" s="21"/>
      <c r="F30" s="21"/>
      <c r="G30" s="25"/>
      <c r="H30" s="21"/>
      <c r="I30" s="21"/>
      <c r="J30" s="21"/>
      <c r="K30" s="21"/>
    </row>
    <row r="31" spans="1:11">
      <c r="A31" s="21"/>
      <c r="B31" s="25"/>
      <c r="C31" s="21"/>
      <c r="D31" s="21"/>
      <c r="E31" s="21"/>
      <c r="F31" s="21"/>
      <c r="G31" s="25"/>
      <c r="H31" s="21"/>
      <c r="I31" s="21"/>
      <c r="J31" s="21"/>
      <c r="K31" s="21"/>
    </row>
    <row r="32" spans="1:11">
      <c r="A32" s="21"/>
      <c r="B32" s="25"/>
      <c r="C32" s="21"/>
      <c r="D32" s="21"/>
      <c r="E32" s="21"/>
      <c r="F32" s="21"/>
      <c r="G32" s="25"/>
      <c r="H32" s="21"/>
      <c r="I32" s="21"/>
      <c r="J32" s="21"/>
      <c r="K32" s="21"/>
    </row>
    <row r="33" spans="1:11">
      <c r="A33" s="21"/>
      <c r="B33" s="25"/>
      <c r="C33" s="21"/>
      <c r="D33" s="21"/>
      <c r="E33" s="21"/>
      <c r="F33" s="21"/>
      <c r="G33" s="25"/>
      <c r="H33" s="21"/>
      <c r="I33" s="21"/>
      <c r="J33" s="21"/>
      <c r="K33" s="21"/>
    </row>
    <row r="34" spans="1:11">
      <c r="A34" s="21"/>
      <c r="B34" s="25"/>
      <c r="C34" s="21"/>
      <c r="D34" s="21"/>
      <c r="E34" s="21"/>
      <c r="F34" s="21"/>
      <c r="G34" s="25"/>
      <c r="H34" s="21"/>
      <c r="I34" s="21"/>
      <c r="J34" s="21"/>
      <c r="K34" s="21"/>
    </row>
    <row r="35" spans="1:11">
      <c r="A35" s="21"/>
      <c r="B35" s="25"/>
      <c r="C35" s="21"/>
      <c r="D35" s="21"/>
      <c r="E35" s="21"/>
      <c r="F35" s="21"/>
      <c r="G35" s="25"/>
      <c r="H35" s="21"/>
      <c r="I35" s="21"/>
      <c r="J35" s="21"/>
      <c r="K35" s="21"/>
    </row>
    <row r="36" spans="1:11">
      <c r="A36" s="21"/>
      <c r="B36" s="25"/>
      <c r="C36" s="21"/>
      <c r="D36" s="21"/>
      <c r="E36" s="21"/>
      <c r="F36" s="21"/>
      <c r="G36" s="25"/>
      <c r="H36" s="21"/>
      <c r="I36" s="21"/>
      <c r="J36" s="21"/>
      <c r="K36" s="21"/>
    </row>
    <row r="37" spans="1:1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</row>
    <row r="38" spans="1:11" hidden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</row>
    <row r="39" spans="1:11">
      <c r="A39" s="45" t="s">
        <v>27</v>
      </c>
      <c r="B39" s="46"/>
      <c r="C39" s="46"/>
      <c r="D39" s="46"/>
      <c r="E39" s="46"/>
      <c r="F39" s="46"/>
      <c r="G39" s="47"/>
      <c r="H39" s="14">
        <f>(TRUNC((TRUNC(J38/100)+I38)/4))+H38</f>
        <v>0</v>
      </c>
      <c r="I39" s="13">
        <f>MOD((TRUNC(J38/100)+I38),4)</f>
        <v>0</v>
      </c>
      <c r="J39" s="13">
        <f>MOD(J38,100)</f>
        <v>0</v>
      </c>
      <c r="K39" s="22"/>
    </row>
    <row r="41" spans="1:11">
      <c r="A41" s="23" t="s">
        <v>9</v>
      </c>
      <c r="F41" s="18" t="s">
        <v>30</v>
      </c>
    </row>
    <row r="42" spans="1:11">
      <c r="A42" s="18" t="s">
        <v>38</v>
      </c>
      <c r="F42" s="18" t="s">
        <v>31</v>
      </c>
    </row>
    <row r="43" spans="1:11">
      <c r="A43" s="18" t="s">
        <v>39</v>
      </c>
      <c r="F43" s="18" t="s">
        <v>23</v>
      </c>
    </row>
    <row r="44" spans="1:11">
      <c r="A44" s="18" t="s">
        <v>41</v>
      </c>
      <c r="F44" s="18" t="s">
        <v>29</v>
      </c>
    </row>
    <row r="45" spans="1:11">
      <c r="F45" s="18" t="s">
        <v>31</v>
      </c>
    </row>
    <row r="46" spans="1:11">
      <c r="F46" s="18" t="s">
        <v>14</v>
      </c>
    </row>
  </sheetData>
  <mergeCells count="29">
    <mergeCell ref="H28:J28"/>
    <mergeCell ref="K28:K29"/>
    <mergeCell ref="A39:G39"/>
    <mergeCell ref="A24:K24"/>
    <mergeCell ref="A25:K25"/>
    <mergeCell ref="A26:K26"/>
    <mergeCell ref="A28:A29"/>
    <mergeCell ref="B28:B29"/>
    <mergeCell ref="C28:C29"/>
    <mergeCell ref="D28:D29"/>
    <mergeCell ref="E28:E29"/>
    <mergeCell ref="F28:F29"/>
    <mergeCell ref="G28:G29"/>
    <mergeCell ref="A23:K23"/>
    <mergeCell ref="A2:K2"/>
    <mergeCell ref="A3:K3"/>
    <mergeCell ref="A4:K4"/>
    <mergeCell ref="A5:K5"/>
    <mergeCell ref="A7:A8"/>
    <mergeCell ref="B7:B8"/>
    <mergeCell ref="C7:C8"/>
    <mergeCell ref="D7:D8"/>
    <mergeCell ref="E7:E8"/>
    <mergeCell ref="F7:F8"/>
    <mergeCell ref="G7:G8"/>
    <mergeCell ref="H7:J7"/>
    <mergeCell ref="K7:K8"/>
    <mergeCell ref="A11:G11"/>
    <mergeCell ref="A19:K19"/>
  </mergeCells>
  <pageMargins left="0" right="0" top="0.74803149606299213" bottom="0.74803149606299213" header="0.31496062992125984" footer="0.31496062992125984"/>
  <pageSetup paperSize="9" scale="99" fitToHeight="0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F3D29-4B9F-4AE2-ABC1-550464E7643A}">
  <sheetPr>
    <pageSetUpPr fitToPage="1"/>
  </sheetPr>
  <dimension ref="A1:H43"/>
  <sheetViews>
    <sheetView tabSelected="1" zoomScale="98" zoomScaleNormal="98" workbookViewId="0">
      <selection activeCell="G9" sqref="G9"/>
    </sheetView>
  </sheetViews>
  <sheetFormatPr defaultColWidth="9" defaultRowHeight="20.25"/>
  <cols>
    <col min="1" max="1" width="7.42578125" style="18" customWidth="1"/>
    <col min="2" max="2" width="8.42578125" style="18" customWidth="1"/>
    <col min="3" max="3" width="15" style="18" customWidth="1"/>
    <col min="4" max="4" width="15.7109375" style="18" customWidth="1"/>
    <col min="5" max="5" width="20.85546875" style="18" bestFit="1" customWidth="1"/>
    <col min="6" max="6" width="30.28515625" style="18" customWidth="1"/>
    <col min="7" max="7" width="32.28515625" style="18" customWidth="1"/>
    <col min="8" max="16384" width="9" style="18"/>
  </cols>
  <sheetData>
    <row r="1" spans="1:8">
      <c r="G1" s="19" t="s">
        <v>35</v>
      </c>
    </row>
    <row r="2" spans="1:8">
      <c r="A2" s="41" t="s">
        <v>17</v>
      </c>
      <c r="B2" s="41"/>
      <c r="C2" s="41"/>
      <c r="D2" s="41"/>
      <c r="E2" s="41"/>
      <c r="F2" s="41"/>
      <c r="G2" s="41"/>
    </row>
    <row r="3" spans="1:8">
      <c r="A3" s="42" t="s">
        <v>16</v>
      </c>
      <c r="B3" s="42"/>
      <c r="C3" s="42"/>
      <c r="D3" s="42"/>
      <c r="E3" s="42"/>
      <c r="F3" s="42"/>
      <c r="G3" s="42"/>
    </row>
    <row r="4" spans="1:8">
      <c r="A4" s="42" t="s">
        <v>12</v>
      </c>
      <c r="B4" s="42"/>
      <c r="C4" s="42"/>
      <c r="D4" s="42"/>
      <c r="E4" s="42"/>
      <c r="F4" s="42"/>
      <c r="G4" s="42"/>
    </row>
    <row r="5" spans="1:8">
      <c r="A5" s="42" t="s">
        <v>15</v>
      </c>
      <c r="B5" s="42"/>
      <c r="C5" s="42"/>
      <c r="D5" s="42"/>
      <c r="E5" s="42"/>
      <c r="F5" s="42"/>
      <c r="G5" s="42"/>
    </row>
    <row r="6" spans="1:8">
      <c r="A6" s="26"/>
      <c r="B6" s="26"/>
      <c r="C6" s="26"/>
      <c r="D6" s="26"/>
      <c r="E6" s="26"/>
      <c r="F6" s="26"/>
      <c r="G6" s="26"/>
    </row>
    <row r="7" spans="1:8" ht="28.5" customHeight="1">
      <c r="A7" s="43" t="s">
        <v>0</v>
      </c>
      <c r="B7" s="44" t="s">
        <v>10</v>
      </c>
      <c r="C7" s="43" t="s">
        <v>1</v>
      </c>
      <c r="D7" s="43" t="s">
        <v>2</v>
      </c>
      <c r="E7" s="43" t="s">
        <v>3</v>
      </c>
      <c r="F7" s="43" t="s">
        <v>20</v>
      </c>
      <c r="G7" s="43" t="s">
        <v>9</v>
      </c>
      <c r="H7" s="20"/>
    </row>
    <row r="8" spans="1:8">
      <c r="A8" s="43"/>
      <c r="B8" s="44"/>
      <c r="C8" s="43"/>
      <c r="D8" s="43"/>
      <c r="E8" s="43"/>
      <c r="F8" s="43"/>
      <c r="G8" s="43"/>
      <c r="H8" s="20"/>
    </row>
    <row r="9" spans="1:8">
      <c r="A9" s="27">
        <v>1</v>
      </c>
      <c r="B9" s="28" t="s">
        <v>60</v>
      </c>
      <c r="C9" s="27" t="s">
        <v>88</v>
      </c>
      <c r="D9" s="27" t="s">
        <v>51</v>
      </c>
      <c r="E9" s="27" t="s">
        <v>89</v>
      </c>
      <c r="F9" s="51" t="s">
        <v>78</v>
      </c>
      <c r="G9" s="27"/>
      <c r="H9" s="20"/>
    </row>
    <row r="10" spans="1:8">
      <c r="A10" s="27">
        <v>1</v>
      </c>
      <c r="B10" s="28" t="s">
        <v>49</v>
      </c>
      <c r="C10" s="27" t="s">
        <v>90</v>
      </c>
      <c r="D10" s="27" t="s">
        <v>51</v>
      </c>
      <c r="E10" s="27" t="s">
        <v>89</v>
      </c>
      <c r="F10" s="52"/>
      <c r="G10" s="27"/>
      <c r="H10" s="20"/>
    </row>
    <row r="11" spans="1:8">
      <c r="A11" s="27">
        <v>3</v>
      </c>
      <c r="B11" s="28" t="s">
        <v>91</v>
      </c>
      <c r="C11" s="27" t="s">
        <v>92</v>
      </c>
      <c r="D11" s="27" t="s">
        <v>51</v>
      </c>
      <c r="E11" s="27" t="s">
        <v>89</v>
      </c>
      <c r="F11" s="53"/>
      <c r="G11" s="27"/>
      <c r="H11" s="20"/>
    </row>
    <row r="12" spans="1:8">
      <c r="A12" s="27" t="s">
        <v>98</v>
      </c>
      <c r="B12" s="28" t="s">
        <v>98</v>
      </c>
      <c r="C12" s="28" t="s">
        <v>98</v>
      </c>
      <c r="D12" s="28" t="s">
        <v>98</v>
      </c>
      <c r="E12" s="28" t="s">
        <v>98</v>
      </c>
      <c r="F12" s="29" t="s">
        <v>79</v>
      </c>
      <c r="G12" s="27"/>
      <c r="H12" s="20"/>
    </row>
    <row r="13" spans="1:8">
      <c r="A13" s="27">
        <v>1</v>
      </c>
      <c r="B13" s="28" t="s">
        <v>60</v>
      </c>
      <c r="C13" s="27" t="s">
        <v>93</v>
      </c>
      <c r="D13" s="27" t="s">
        <v>55</v>
      </c>
      <c r="E13" s="27" t="s">
        <v>89</v>
      </c>
      <c r="F13" s="51" t="s">
        <v>80</v>
      </c>
      <c r="G13" s="27"/>
      <c r="H13" s="20"/>
    </row>
    <row r="14" spans="1:8">
      <c r="A14" s="27">
        <v>2</v>
      </c>
      <c r="B14" s="28" t="s">
        <v>95</v>
      </c>
      <c r="C14" s="27" t="s">
        <v>94</v>
      </c>
      <c r="D14" s="27" t="s">
        <v>55</v>
      </c>
      <c r="E14" s="27" t="s">
        <v>89</v>
      </c>
      <c r="F14" s="52"/>
      <c r="G14" s="27"/>
      <c r="H14" s="20"/>
    </row>
    <row r="15" spans="1:8">
      <c r="A15" s="27">
        <v>3</v>
      </c>
      <c r="B15" s="28" t="s">
        <v>91</v>
      </c>
      <c r="C15" s="27" t="s">
        <v>96</v>
      </c>
      <c r="D15" s="27" t="s">
        <v>55</v>
      </c>
      <c r="E15" s="27" t="s">
        <v>89</v>
      </c>
      <c r="F15" s="53"/>
      <c r="G15" s="27"/>
      <c r="H15" s="20"/>
    </row>
    <row r="16" spans="1:8">
      <c r="A16" s="27" t="s">
        <v>98</v>
      </c>
      <c r="B16" s="28" t="s">
        <v>98</v>
      </c>
      <c r="C16" s="27" t="s">
        <v>98</v>
      </c>
      <c r="D16" s="27" t="s">
        <v>98</v>
      </c>
      <c r="E16" s="27" t="s">
        <v>98</v>
      </c>
      <c r="F16" s="29" t="s">
        <v>81</v>
      </c>
      <c r="G16" s="27"/>
      <c r="H16" s="20"/>
    </row>
    <row r="17" spans="1:8">
      <c r="A17" s="27">
        <v>1</v>
      </c>
      <c r="B17" s="28" t="s">
        <v>60</v>
      </c>
      <c r="C17" s="27" t="s">
        <v>93</v>
      </c>
      <c r="D17" s="27" t="s">
        <v>55</v>
      </c>
      <c r="E17" s="27" t="s">
        <v>89</v>
      </c>
      <c r="F17" s="51" t="s">
        <v>82</v>
      </c>
      <c r="G17" s="27"/>
      <c r="H17" s="20"/>
    </row>
    <row r="18" spans="1:8">
      <c r="A18" s="27">
        <v>2</v>
      </c>
      <c r="B18" s="28" t="s">
        <v>95</v>
      </c>
      <c r="C18" s="27" t="s">
        <v>94</v>
      </c>
      <c r="D18" s="27" t="s">
        <v>55</v>
      </c>
      <c r="E18" s="27" t="s">
        <v>89</v>
      </c>
      <c r="F18" s="52"/>
      <c r="G18" s="27"/>
      <c r="H18" s="20"/>
    </row>
    <row r="19" spans="1:8">
      <c r="A19" s="27">
        <v>3</v>
      </c>
      <c r="B19" s="28" t="s">
        <v>91</v>
      </c>
      <c r="C19" s="27" t="s">
        <v>96</v>
      </c>
      <c r="D19" s="27" t="s">
        <v>55</v>
      </c>
      <c r="E19" s="27" t="s">
        <v>89</v>
      </c>
      <c r="F19" s="53"/>
      <c r="G19" s="27"/>
      <c r="H19" s="20"/>
    </row>
    <row r="20" spans="1:8">
      <c r="A20" s="27">
        <v>1</v>
      </c>
      <c r="B20" s="28"/>
      <c r="C20" s="27"/>
      <c r="D20" s="27"/>
      <c r="E20" s="27" t="s">
        <v>89</v>
      </c>
      <c r="F20" s="51" t="s">
        <v>83</v>
      </c>
      <c r="G20" s="27"/>
      <c r="H20" s="20"/>
    </row>
    <row r="21" spans="1:8">
      <c r="A21" s="27">
        <v>2</v>
      </c>
      <c r="B21" s="28"/>
      <c r="C21" s="27"/>
      <c r="D21" s="27"/>
      <c r="E21" s="27" t="s">
        <v>89</v>
      </c>
      <c r="F21" s="53"/>
      <c r="G21" s="27"/>
      <c r="H21" s="20"/>
    </row>
    <row r="22" spans="1:8">
      <c r="A22" s="27" t="s">
        <v>98</v>
      </c>
      <c r="B22" s="28" t="s">
        <v>98</v>
      </c>
      <c r="C22" s="27" t="s">
        <v>98</v>
      </c>
      <c r="D22" s="27" t="s">
        <v>98</v>
      </c>
      <c r="E22" s="27" t="s">
        <v>98</v>
      </c>
      <c r="F22" s="29" t="s">
        <v>84</v>
      </c>
      <c r="G22" s="27"/>
      <c r="H22" s="20"/>
    </row>
    <row r="23" spans="1:8">
      <c r="A23" s="27">
        <v>1</v>
      </c>
      <c r="B23" s="28"/>
      <c r="C23" s="27"/>
      <c r="D23" s="27"/>
      <c r="E23" s="27" t="s">
        <v>89</v>
      </c>
      <c r="F23" s="51" t="s">
        <v>85</v>
      </c>
      <c r="G23" s="27"/>
      <c r="H23" s="20"/>
    </row>
    <row r="24" spans="1:8">
      <c r="A24" s="27">
        <v>2</v>
      </c>
      <c r="B24" s="28"/>
      <c r="C24" s="27"/>
      <c r="D24" s="27"/>
      <c r="E24" s="27" t="s">
        <v>89</v>
      </c>
      <c r="F24" s="53"/>
      <c r="G24" s="27"/>
      <c r="H24" s="20"/>
    </row>
    <row r="25" spans="1:8">
      <c r="A25" s="27">
        <v>1</v>
      </c>
      <c r="B25" s="28"/>
      <c r="C25" s="27"/>
      <c r="D25" s="27"/>
      <c r="E25" s="27" t="s">
        <v>89</v>
      </c>
      <c r="F25" s="51" t="s">
        <v>86</v>
      </c>
      <c r="G25" s="27"/>
      <c r="H25" s="20"/>
    </row>
    <row r="26" spans="1:8">
      <c r="A26" s="27">
        <v>2</v>
      </c>
      <c r="B26" s="28"/>
      <c r="C26" s="27"/>
      <c r="D26" s="27"/>
      <c r="E26" s="27" t="s">
        <v>89</v>
      </c>
      <c r="F26" s="52"/>
      <c r="G26" s="27"/>
      <c r="H26" s="20"/>
    </row>
    <row r="27" spans="1:8">
      <c r="A27" s="27">
        <v>3</v>
      </c>
      <c r="B27" s="28"/>
      <c r="C27" s="27"/>
      <c r="D27" s="27"/>
      <c r="E27" s="27" t="s">
        <v>89</v>
      </c>
      <c r="F27" s="52"/>
      <c r="G27" s="27"/>
      <c r="H27" s="20"/>
    </row>
    <row r="28" spans="1:8">
      <c r="A28" s="27">
        <v>4</v>
      </c>
      <c r="B28" s="28"/>
      <c r="C28" s="27"/>
      <c r="D28" s="27"/>
      <c r="E28" s="27" t="s">
        <v>89</v>
      </c>
      <c r="F28" s="53"/>
      <c r="G28" s="27"/>
      <c r="H28" s="20"/>
    </row>
    <row r="29" spans="1:8">
      <c r="A29" s="27">
        <v>1</v>
      </c>
      <c r="B29" s="28"/>
      <c r="C29" s="27"/>
      <c r="D29" s="27"/>
      <c r="E29" s="27" t="s">
        <v>89</v>
      </c>
      <c r="F29" s="51" t="s">
        <v>87</v>
      </c>
      <c r="G29" s="27"/>
      <c r="H29" s="20"/>
    </row>
    <row r="30" spans="1:8">
      <c r="A30" s="27">
        <v>2</v>
      </c>
      <c r="B30" s="28"/>
      <c r="C30" s="27"/>
      <c r="D30" s="27"/>
      <c r="E30" s="27" t="s">
        <v>89</v>
      </c>
      <c r="F30" s="52"/>
      <c r="G30" s="27"/>
      <c r="H30" s="20"/>
    </row>
    <row r="31" spans="1:8">
      <c r="A31" s="27">
        <v>3</v>
      </c>
      <c r="B31" s="28"/>
      <c r="C31" s="27"/>
      <c r="D31" s="27"/>
      <c r="E31" s="27" t="s">
        <v>89</v>
      </c>
      <c r="F31" s="52"/>
      <c r="G31" s="27"/>
      <c r="H31" s="20"/>
    </row>
    <row r="32" spans="1:8">
      <c r="A32" s="24">
        <v>4</v>
      </c>
      <c r="B32" s="22"/>
      <c r="C32" s="24"/>
      <c r="D32" s="24"/>
      <c r="E32" s="27" t="s">
        <v>89</v>
      </c>
      <c r="F32" s="53"/>
      <c r="G32" s="22"/>
      <c r="H32" s="20"/>
    </row>
    <row r="33" spans="1:8">
      <c r="A33" s="49" t="s">
        <v>97</v>
      </c>
      <c r="B33" s="50"/>
      <c r="C33" s="50"/>
      <c r="D33" s="50"/>
      <c r="E33" s="50"/>
      <c r="F33" s="50"/>
      <c r="G33" s="22"/>
      <c r="H33" s="20"/>
    </row>
    <row r="35" spans="1:8">
      <c r="A35" s="23" t="s">
        <v>9</v>
      </c>
      <c r="F35" s="18" t="s">
        <v>30</v>
      </c>
    </row>
    <row r="36" spans="1:8">
      <c r="A36" s="18" t="s">
        <v>36</v>
      </c>
      <c r="F36" s="18" t="s">
        <v>31</v>
      </c>
    </row>
    <row r="37" spans="1:8">
      <c r="A37" s="18" t="s">
        <v>42</v>
      </c>
      <c r="F37" s="18" t="s">
        <v>23</v>
      </c>
    </row>
    <row r="38" spans="1:8">
      <c r="A38" s="18" t="s">
        <v>43</v>
      </c>
      <c r="F38" s="18" t="s">
        <v>29</v>
      </c>
    </row>
    <row r="39" spans="1:8">
      <c r="A39" s="18" t="s">
        <v>37</v>
      </c>
      <c r="F39" s="18" t="s">
        <v>31</v>
      </c>
    </row>
    <row r="40" spans="1:8">
      <c r="F40" s="18" t="s">
        <v>14</v>
      </c>
    </row>
    <row r="41" spans="1:8">
      <c r="A41" s="48" t="s">
        <v>19</v>
      </c>
      <c r="B41" s="48"/>
      <c r="C41" s="48"/>
      <c r="D41" s="48"/>
      <c r="E41" s="48"/>
      <c r="F41" s="48"/>
      <c r="G41" s="48"/>
    </row>
    <row r="42" spans="1:8">
      <c r="A42" s="48"/>
      <c r="B42" s="48"/>
      <c r="C42" s="48"/>
      <c r="D42" s="48"/>
      <c r="E42" s="48"/>
      <c r="F42" s="48"/>
      <c r="G42" s="48"/>
    </row>
    <row r="43" spans="1:8">
      <c r="A43" s="48"/>
      <c r="B43" s="48"/>
      <c r="C43" s="48"/>
      <c r="D43" s="48"/>
      <c r="E43" s="48"/>
      <c r="F43" s="48"/>
      <c r="G43" s="48"/>
    </row>
  </sheetData>
  <mergeCells count="22">
    <mergeCell ref="A33:F33"/>
    <mergeCell ref="A41:G41"/>
    <mergeCell ref="A42:G42"/>
    <mergeCell ref="A43:G43"/>
    <mergeCell ref="F9:F11"/>
    <mergeCell ref="F13:F15"/>
    <mergeCell ref="F17:F19"/>
    <mergeCell ref="F20:F21"/>
    <mergeCell ref="F23:F24"/>
    <mergeCell ref="F25:F28"/>
    <mergeCell ref="F29:F32"/>
    <mergeCell ref="A2:G2"/>
    <mergeCell ref="A3:G3"/>
    <mergeCell ref="A4:G4"/>
    <mergeCell ref="A5:G5"/>
    <mergeCell ref="A7:A8"/>
    <mergeCell ref="B7:B8"/>
    <mergeCell ref="C7:C8"/>
    <mergeCell ref="D7:D8"/>
    <mergeCell ref="E7:E8"/>
    <mergeCell ref="F7:F8"/>
    <mergeCell ref="G7:G8"/>
  </mergeCells>
  <pageMargins left="0.2" right="0.2" top="0.75" bottom="0.75" header="0.3" footer="0.3"/>
  <pageSetup paperSize="9" scale="90" fitToHeight="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92038-A9CD-4FD2-B33E-7BBB35A469B6}">
  <sheetPr>
    <pageSetUpPr fitToPage="1"/>
  </sheetPr>
  <dimension ref="A1:M31"/>
  <sheetViews>
    <sheetView zoomScaleNormal="100" workbookViewId="0">
      <selection activeCell="B9" sqref="B9:D9"/>
    </sheetView>
  </sheetViews>
  <sheetFormatPr defaultColWidth="9" defaultRowHeight="24"/>
  <cols>
    <col min="1" max="1" width="7.42578125" style="30" customWidth="1"/>
    <col min="2" max="2" width="8.42578125" style="30" customWidth="1"/>
    <col min="3" max="3" width="12.5703125" style="30" customWidth="1"/>
    <col min="4" max="4" width="13.5703125" style="30" customWidth="1"/>
    <col min="5" max="5" width="22.85546875" style="30" bestFit="1" customWidth="1"/>
    <col min="6" max="6" width="22" style="30" customWidth="1"/>
    <col min="7" max="7" width="11.5703125" style="30" customWidth="1"/>
    <col min="8" max="8" width="11.5703125" style="30" bestFit="1" customWidth="1"/>
    <col min="9" max="9" width="7.42578125" style="30" customWidth="1"/>
    <col min="10" max="10" width="6.28515625" style="30" customWidth="1"/>
    <col min="11" max="11" width="8.28515625" style="30" customWidth="1"/>
    <col min="12" max="12" width="17" style="30" bestFit="1" customWidth="1"/>
    <col min="13" max="13" width="18.5703125" style="30" bestFit="1" customWidth="1"/>
    <col min="14" max="16384" width="9" style="30"/>
  </cols>
  <sheetData>
    <row r="1" spans="1:13">
      <c r="L1" s="31" t="s">
        <v>28</v>
      </c>
    </row>
    <row r="2" spans="1:13">
      <c r="A2" s="57" t="s">
        <v>18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</row>
    <row r="3" spans="1:13">
      <c r="A3" s="58" t="s">
        <v>16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</row>
    <row r="4" spans="1:13">
      <c r="A4" s="58" t="s">
        <v>12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</row>
    <row r="5" spans="1:13">
      <c r="A5" s="58" t="s">
        <v>15</v>
      </c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</row>
    <row r="6" spans="1:13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</row>
    <row r="7" spans="1:13" ht="28.5" customHeight="1">
      <c r="A7" s="59" t="s">
        <v>0</v>
      </c>
      <c r="B7" s="60" t="s">
        <v>10</v>
      </c>
      <c r="C7" s="59" t="s">
        <v>1</v>
      </c>
      <c r="D7" s="59" t="s">
        <v>2</v>
      </c>
      <c r="E7" s="59" t="s">
        <v>3</v>
      </c>
      <c r="F7" s="61" t="s">
        <v>4</v>
      </c>
      <c r="G7" s="59" t="s">
        <v>5</v>
      </c>
      <c r="H7" s="60" t="s">
        <v>11</v>
      </c>
      <c r="I7" s="59" t="s">
        <v>24</v>
      </c>
      <c r="J7" s="59"/>
      <c r="K7" s="59"/>
      <c r="L7" s="59" t="s">
        <v>9</v>
      </c>
    </row>
    <row r="8" spans="1:13">
      <c r="A8" s="59"/>
      <c r="B8" s="60"/>
      <c r="C8" s="59"/>
      <c r="D8" s="59"/>
      <c r="E8" s="59"/>
      <c r="F8" s="62"/>
      <c r="G8" s="59"/>
      <c r="H8" s="60"/>
      <c r="I8" s="33" t="s">
        <v>6</v>
      </c>
      <c r="J8" s="33" t="s">
        <v>7</v>
      </c>
      <c r="K8" s="33" t="s">
        <v>8</v>
      </c>
      <c r="L8" s="59"/>
    </row>
    <row r="9" spans="1:13">
      <c r="A9" s="15">
        <v>1</v>
      </c>
      <c r="B9" s="16" t="s">
        <v>49</v>
      </c>
      <c r="C9" s="16" t="s">
        <v>50</v>
      </c>
      <c r="D9" s="16" t="s">
        <v>51</v>
      </c>
      <c r="E9" s="16" t="s">
        <v>52</v>
      </c>
      <c r="F9" s="16">
        <v>10001</v>
      </c>
      <c r="G9" s="17" t="s">
        <v>53</v>
      </c>
      <c r="H9" s="17" t="s">
        <v>53</v>
      </c>
      <c r="I9" s="16">
        <v>20</v>
      </c>
      <c r="J9" s="16">
        <v>0</v>
      </c>
      <c r="K9" s="16">
        <v>0</v>
      </c>
      <c r="L9" s="33"/>
      <c r="M9" s="30" t="str">
        <f>F9&amp;B9&amp;C9&amp;" "&amp;D9</f>
        <v>10001นายกอ ยินดี</v>
      </c>
    </row>
    <row r="10" spans="1:13">
      <c r="A10" s="15">
        <v>2</v>
      </c>
      <c r="B10" s="16" t="s">
        <v>49</v>
      </c>
      <c r="C10" s="16" t="s">
        <v>74</v>
      </c>
      <c r="D10" s="16" t="s">
        <v>51</v>
      </c>
      <c r="E10" s="16" t="s">
        <v>52</v>
      </c>
      <c r="F10" s="16">
        <v>30001</v>
      </c>
      <c r="G10" s="17" t="s">
        <v>53</v>
      </c>
      <c r="H10" s="17" t="s">
        <v>53</v>
      </c>
      <c r="I10" s="16">
        <v>5</v>
      </c>
      <c r="J10" s="16">
        <v>1</v>
      </c>
      <c r="K10" s="16">
        <v>20</v>
      </c>
      <c r="L10" s="33"/>
      <c r="M10" s="30" t="str">
        <f t="shared" ref="M10:M17" si="0">F10&amp;B10&amp;C10&amp;" "&amp;D10</f>
        <v>30001นายเอ็ก ยินดี</v>
      </c>
    </row>
    <row r="11" spans="1:13">
      <c r="A11" s="15">
        <v>3</v>
      </c>
      <c r="B11" s="16" t="s">
        <v>49</v>
      </c>
      <c r="C11" s="16" t="s">
        <v>54</v>
      </c>
      <c r="D11" s="16" t="s">
        <v>55</v>
      </c>
      <c r="E11" s="16" t="s">
        <v>52</v>
      </c>
      <c r="F11" s="16">
        <v>10002</v>
      </c>
      <c r="G11" s="17" t="s">
        <v>53</v>
      </c>
      <c r="H11" s="17" t="s">
        <v>56</v>
      </c>
      <c r="I11" s="16">
        <v>20</v>
      </c>
      <c r="J11" s="16">
        <v>0</v>
      </c>
      <c r="K11" s="16">
        <v>0</v>
      </c>
      <c r="L11" s="33"/>
      <c r="M11" s="30" t="str">
        <f t="shared" si="0"/>
        <v>10002นายขอ ปรีดา</v>
      </c>
    </row>
    <row r="12" spans="1:13">
      <c r="A12" s="15">
        <v>4</v>
      </c>
      <c r="B12" s="16" t="s">
        <v>49</v>
      </c>
      <c r="C12" s="16" t="s">
        <v>75</v>
      </c>
      <c r="D12" s="16" t="s">
        <v>55</v>
      </c>
      <c r="E12" s="16" t="s">
        <v>52</v>
      </c>
      <c r="F12" s="16">
        <v>30002</v>
      </c>
      <c r="G12" s="17" t="s">
        <v>53</v>
      </c>
      <c r="H12" s="17" t="s">
        <v>56</v>
      </c>
      <c r="I12" s="16">
        <v>20</v>
      </c>
      <c r="J12" s="16">
        <v>0</v>
      </c>
      <c r="K12" s="16">
        <v>0</v>
      </c>
      <c r="L12" s="33"/>
      <c r="M12" s="30" t="str">
        <f t="shared" si="0"/>
        <v>30002นายดำ ปรีดา</v>
      </c>
    </row>
    <row r="13" spans="1:13">
      <c r="A13" s="15">
        <v>5</v>
      </c>
      <c r="B13" s="16" t="s">
        <v>49</v>
      </c>
      <c r="C13" s="16" t="s">
        <v>54</v>
      </c>
      <c r="D13" s="16" t="s">
        <v>55</v>
      </c>
      <c r="E13" s="16" t="s">
        <v>52</v>
      </c>
      <c r="F13" s="16">
        <v>40002</v>
      </c>
      <c r="G13" s="17" t="s">
        <v>53</v>
      </c>
      <c r="H13" s="17" t="s">
        <v>56</v>
      </c>
      <c r="I13" s="16">
        <v>15</v>
      </c>
      <c r="J13" s="16">
        <v>3</v>
      </c>
      <c r="K13" s="16">
        <v>64</v>
      </c>
      <c r="L13" s="33"/>
      <c r="M13" s="30" t="str">
        <f t="shared" si="0"/>
        <v>40002นายขอ ปรีดา</v>
      </c>
    </row>
    <row r="14" spans="1:13">
      <c r="A14" s="15">
        <v>6</v>
      </c>
      <c r="B14" s="16" t="s">
        <v>49</v>
      </c>
      <c r="C14" s="16" t="s">
        <v>57</v>
      </c>
      <c r="D14" s="16" t="s">
        <v>58</v>
      </c>
      <c r="E14" s="16" t="s">
        <v>52</v>
      </c>
      <c r="F14" s="16">
        <v>20003</v>
      </c>
      <c r="G14" s="17" t="s">
        <v>53</v>
      </c>
      <c r="H14" s="17" t="s">
        <v>59</v>
      </c>
      <c r="I14" s="16">
        <v>20</v>
      </c>
      <c r="J14" s="16">
        <v>0</v>
      </c>
      <c r="K14" s="16">
        <v>0</v>
      </c>
      <c r="L14" s="33"/>
      <c r="M14" s="30" t="str">
        <f t="shared" si="0"/>
        <v>20003นายคอ สนใจ</v>
      </c>
    </row>
    <row r="15" spans="1:13">
      <c r="A15" s="15">
        <v>7</v>
      </c>
      <c r="B15" s="16" t="s">
        <v>60</v>
      </c>
      <c r="C15" s="16" t="s">
        <v>76</v>
      </c>
      <c r="D15" s="16" t="s">
        <v>58</v>
      </c>
      <c r="E15" s="16" t="s">
        <v>52</v>
      </c>
      <c r="F15" s="16">
        <v>30003</v>
      </c>
      <c r="G15" s="17" t="s">
        <v>53</v>
      </c>
      <c r="H15" s="17" t="s">
        <v>59</v>
      </c>
      <c r="I15" s="16">
        <v>13</v>
      </c>
      <c r="J15" s="16">
        <v>1</v>
      </c>
      <c r="K15" s="16">
        <v>20</v>
      </c>
      <c r="L15" s="33"/>
      <c r="M15" s="30" t="str">
        <f t="shared" si="0"/>
        <v>30003นางแดง สนใจ</v>
      </c>
    </row>
    <row r="16" spans="1:13">
      <c r="A16" s="15">
        <v>8</v>
      </c>
      <c r="B16" s="16" t="s">
        <v>60</v>
      </c>
      <c r="C16" s="16" t="s">
        <v>61</v>
      </c>
      <c r="D16" s="16" t="s">
        <v>62</v>
      </c>
      <c r="E16" s="16" t="s">
        <v>52</v>
      </c>
      <c r="F16" s="16">
        <v>20004</v>
      </c>
      <c r="G16" s="17" t="s">
        <v>53</v>
      </c>
      <c r="H16" s="17" t="s">
        <v>63</v>
      </c>
      <c r="I16" s="16">
        <v>8</v>
      </c>
      <c r="J16" s="16">
        <v>2</v>
      </c>
      <c r="K16" s="16">
        <v>33</v>
      </c>
      <c r="L16" s="33"/>
      <c r="M16" s="30" t="str">
        <f t="shared" si="0"/>
        <v>20004นางงอ น่ารัก</v>
      </c>
    </row>
    <row r="17" spans="1:13">
      <c r="A17" s="15">
        <v>9</v>
      </c>
      <c r="B17" s="16" t="s">
        <v>60</v>
      </c>
      <c r="C17" s="16" t="s">
        <v>64</v>
      </c>
      <c r="D17" s="16" t="s">
        <v>65</v>
      </c>
      <c r="E17" s="16" t="s">
        <v>52</v>
      </c>
      <c r="F17" s="16">
        <v>10005</v>
      </c>
      <c r="G17" s="17" t="s">
        <v>53</v>
      </c>
      <c r="H17" s="17" t="s">
        <v>66</v>
      </c>
      <c r="I17" s="16">
        <v>10</v>
      </c>
      <c r="J17" s="16">
        <v>3</v>
      </c>
      <c r="K17" s="16">
        <v>45</v>
      </c>
      <c r="L17" s="33"/>
      <c r="M17" s="30" t="str">
        <f t="shared" si="0"/>
        <v>10005นางจอ สดใส</v>
      </c>
    </row>
    <row r="18" spans="1:13">
      <c r="A18" s="15">
        <v>10</v>
      </c>
      <c r="B18" s="16" t="s">
        <v>60</v>
      </c>
      <c r="C18" s="16" t="s">
        <v>67</v>
      </c>
      <c r="D18" s="16" t="s">
        <v>68</v>
      </c>
      <c r="E18" s="16" t="s">
        <v>52</v>
      </c>
      <c r="F18" s="16">
        <v>10006</v>
      </c>
      <c r="G18" s="17" t="s">
        <v>53</v>
      </c>
      <c r="H18" s="17" t="s">
        <v>69</v>
      </c>
      <c r="I18" s="16">
        <v>13</v>
      </c>
      <c r="J18" s="16">
        <v>2</v>
      </c>
      <c r="K18" s="16">
        <v>32</v>
      </c>
      <c r="L18" s="34" t="s">
        <v>73</v>
      </c>
      <c r="M18" s="30" t="str">
        <f>F18&amp;B18&amp;C18&amp;" "&amp;D18</f>
        <v>10006นางฉอ สดชื่น</v>
      </c>
    </row>
    <row r="19" spans="1:13" hidden="1">
      <c r="A19" s="15">
        <v>11</v>
      </c>
      <c r="B19" s="35"/>
      <c r="C19" s="35"/>
      <c r="D19" s="35"/>
      <c r="E19" s="35"/>
      <c r="F19" s="35"/>
      <c r="G19" s="36"/>
      <c r="H19" s="37"/>
      <c r="I19" s="16">
        <f>SUM(I9:I18)</f>
        <v>144</v>
      </c>
      <c r="J19" s="16">
        <f>SUM(J9:J18)</f>
        <v>12</v>
      </c>
      <c r="K19" s="16">
        <f>SUM(K9:K18)</f>
        <v>214</v>
      </c>
      <c r="L19" s="33"/>
    </row>
    <row r="20" spans="1:13">
      <c r="A20" s="54" t="s">
        <v>26</v>
      </c>
      <c r="B20" s="55"/>
      <c r="C20" s="55"/>
      <c r="D20" s="55"/>
      <c r="E20" s="55"/>
      <c r="F20" s="55"/>
      <c r="G20" s="55"/>
      <c r="H20" s="56"/>
      <c r="I20" s="16">
        <f>(TRUNC((TRUNC(K19/100)+J19)/4))+I19</f>
        <v>147</v>
      </c>
      <c r="J20" s="15">
        <f>MOD((TRUNC(K19/100)+J19),4)</f>
        <v>2</v>
      </c>
      <c r="K20" s="15">
        <f>MOD(K19,100)</f>
        <v>14</v>
      </c>
      <c r="L20" s="38"/>
    </row>
    <row r="22" spans="1:13">
      <c r="A22" s="39" t="s">
        <v>9</v>
      </c>
      <c r="G22" s="30" t="s">
        <v>30</v>
      </c>
    </row>
    <row r="23" spans="1:13">
      <c r="A23" s="40" t="s">
        <v>44</v>
      </c>
      <c r="G23" s="30" t="s">
        <v>31</v>
      </c>
    </row>
    <row r="24" spans="1:13">
      <c r="A24" s="30" t="s">
        <v>33</v>
      </c>
      <c r="G24" s="30" t="s">
        <v>23</v>
      </c>
    </row>
    <row r="25" spans="1:13">
      <c r="A25" s="40" t="s">
        <v>45</v>
      </c>
      <c r="G25" s="30" t="s">
        <v>29</v>
      </c>
    </row>
    <row r="26" spans="1:13">
      <c r="A26" s="30" t="s">
        <v>34</v>
      </c>
      <c r="G26" s="30" t="s">
        <v>31</v>
      </c>
    </row>
    <row r="27" spans="1:13">
      <c r="A27" s="40" t="s">
        <v>46</v>
      </c>
      <c r="G27" s="30" t="s">
        <v>14</v>
      </c>
    </row>
    <row r="28" spans="1:13">
      <c r="A28" s="30" t="s">
        <v>40</v>
      </c>
    </row>
    <row r="29" spans="1:13">
      <c r="A29" s="40" t="s">
        <v>47</v>
      </c>
    </row>
    <row r="30" spans="1:13">
      <c r="A30" s="30" t="s">
        <v>25</v>
      </c>
    </row>
    <row r="31" spans="1:13">
      <c r="A31" s="40" t="s">
        <v>48</v>
      </c>
    </row>
  </sheetData>
  <mergeCells count="15">
    <mergeCell ref="A20:H20"/>
    <mergeCell ref="A2:L2"/>
    <mergeCell ref="A3:L3"/>
    <mergeCell ref="A4:L4"/>
    <mergeCell ref="A5:L5"/>
    <mergeCell ref="A7:A8"/>
    <mergeCell ref="B7:B8"/>
    <mergeCell ref="C7:C8"/>
    <mergeCell ref="D7:D8"/>
    <mergeCell ref="E7:E8"/>
    <mergeCell ref="F7:F8"/>
    <mergeCell ref="G7:G8"/>
    <mergeCell ref="H7:H8"/>
    <mergeCell ref="I7:K7"/>
    <mergeCell ref="L7:L8"/>
  </mergeCells>
  <pageMargins left="0.19685039370078741" right="0.19685039370078741" top="0.23622047244094488" bottom="0.51181102362204722" header="0" footer="3.937007874015748E-2"/>
  <pageSetup paperSize="9" scale="95" fitToHeight="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02239-7880-45B9-9F1A-81779DE0DB12}">
  <sheetPr>
    <pageSetUpPr fitToPage="1"/>
  </sheetPr>
  <dimension ref="A1:L23"/>
  <sheetViews>
    <sheetView topLeftCell="A4" zoomScale="112" zoomScaleNormal="112" workbookViewId="0">
      <selection activeCell="E14" sqref="E14"/>
    </sheetView>
  </sheetViews>
  <sheetFormatPr defaultColWidth="9" defaultRowHeight="24"/>
  <cols>
    <col min="1" max="1" width="7.42578125" style="1" customWidth="1"/>
    <col min="2" max="2" width="8.42578125" style="1" customWidth="1"/>
    <col min="3" max="3" width="12.5703125" style="1" customWidth="1"/>
    <col min="4" max="4" width="13.5703125" style="1" customWidth="1"/>
    <col min="5" max="5" width="22.85546875" style="1" bestFit="1" customWidth="1"/>
    <col min="6" max="6" width="22" style="1" customWidth="1"/>
    <col min="7" max="7" width="11.5703125" style="1" customWidth="1"/>
    <col min="8" max="8" width="11.5703125" style="1" bestFit="1" customWidth="1"/>
    <col min="9" max="9" width="7.42578125" style="1" customWidth="1"/>
    <col min="10" max="10" width="6.28515625" style="1" customWidth="1"/>
    <col min="11" max="11" width="8.28515625" style="1" customWidth="1"/>
    <col min="12" max="12" width="10.5703125" style="1" customWidth="1"/>
    <col min="13" max="16384" width="9" style="1"/>
  </cols>
  <sheetData>
    <row r="1" spans="1:12">
      <c r="L1" s="2" t="s">
        <v>28</v>
      </c>
    </row>
    <row r="2" spans="1:12">
      <c r="A2" s="67" t="s">
        <v>18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</row>
    <row r="3" spans="1:12">
      <c r="A3" s="68" t="s">
        <v>16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</row>
    <row r="4" spans="1:12">
      <c r="A4" s="68" t="s">
        <v>12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</row>
    <row r="5" spans="1:12">
      <c r="A5" s="68" t="s">
        <v>15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</row>
    <row r="6" spans="1:12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</row>
    <row r="7" spans="1:12" ht="28.5" customHeight="1">
      <c r="A7" s="63" t="s">
        <v>0</v>
      </c>
      <c r="B7" s="69" t="s">
        <v>10</v>
      </c>
      <c r="C7" s="63" t="s">
        <v>1</v>
      </c>
      <c r="D7" s="63" t="s">
        <v>2</v>
      </c>
      <c r="E7" s="63" t="s">
        <v>3</v>
      </c>
      <c r="F7" s="70" t="s">
        <v>4</v>
      </c>
      <c r="G7" s="63" t="s">
        <v>5</v>
      </c>
      <c r="H7" s="69" t="s">
        <v>11</v>
      </c>
      <c r="I7" s="63" t="s">
        <v>24</v>
      </c>
      <c r="J7" s="63"/>
      <c r="K7" s="63"/>
      <c r="L7" s="63" t="s">
        <v>9</v>
      </c>
    </row>
    <row r="8" spans="1:12">
      <c r="A8" s="63"/>
      <c r="B8" s="69"/>
      <c r="C8" s="63"/>
      <c r="D8" s="63"/>
      <c r="E8" s="63"/>
      <c r="F8" s="71"/>
      <c r="G8" s="63"/>
      <c r="H8" s="69"/>
      <c r="I8" s="11" t="s">
        <v>6</v>
      </c>
      <c r="J8" s="11" t="s">
        <v>7</v>
      </c>
      <c r="K8" s="11" t="s">
        <v>8</v>
      </c>
      <c r="L8" s="63"/>
    </row>
    <row r="9" spans="1:12">
      <c r="A9" s="4"/>
      <c r="B9" s="4"/>
      <c r="C9" s="4"/>
      <c r="D9" s="4"/>
      <c r="E9" s="4"/>
      <c r="F9" s="4"/>
      <c r="G9" s="10"/>
      <c r="H9" s="10"/>
      <c r="I9" s="4"/>
      <c r="J9" s="4"/>
      <c r="K9" s="4"/>
      <c r="L9" s="4"/>
    </row>
    <row r="10" spans="1:1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>
      <c r="A12" s="64" t="s">
        <v>26</v>
      </c>
      <c r="B12" s="65"/>
      <c r="C12" s="65"/>
      <c r="D12" s="65"/>
      <c r="E12" s="65"/>
      <c r="F12" s="65"/>
      <c r="G12" s="65"/>
      <c r="H12" s="66"/>
      <c r="I12" s="4"/>
      <c r="J12" s="4"/>
      <c r="K12" s="4"/>
      <c r="L12" s="4"/>
    </row>
    <row r="14" spans="1:12">
      <c r="A14" s="5" t="s">
        <v>9</v>
      </c>
      <c r="G14" s="1" t="s">
        <v>30</v>
      </c>
    </row>
    <row r="15" spans="1:12">
      <c r="A15" s="6" t="s">
        <v>44</v>
      </c>
      <c r="G15" s="1" t="s">
        <v>31</v>
      </c>
    </row>
    <row r="16" spans="1:12">
      <c r="A16" s="1" t="s">
        <v>33</v>
      </c>
      <c r="G16" s="1" t="s">
        <v>23</v>
      </c>
    </row>
    <row r="17" spans="1:7">
      <c r="A17" s="6" t="s">
        <v>45</v>
      </c>
      <c r="G17" s="1" t="s">
        <v>29</v>
      </c>
    </row>
    <row r="18" spans="1:7">
      <c r="A18" s="1" t="s">
        <v>34</v>
      </c>
      <c r="G18" s="1" t="s">
        <v>31</v>
      </c>
    </row>
    <row r="19" spans="1:7">
      <c r="A19" s="6" t="s">
        <v>46</v>
      </c>
      <c r="G19" s="1" t="s">
        <v>14</v>
      </c>
    </row>
    <row r="20" spans="1:7">
      <c r="A20" s="1" t="s">
        <v>40</v>
      </c>
    </row>
    <row r="21" spans="1:7">
      <c r="A21" s="6" t="s">
        <v>47</v>
      </c>
    </row>
    <row r="22" spans="1:7">
      <c r="A22" s="1" t="s">
        <v>25</v>
      </c>
    </row>
    <row r="23" spans="1:7">
      <c r="A23" s="6" t="s">
        <v>48</v>
      </c>
    </row>
  </sheetData>
  <mergeCells count="15">
    <mergeCell ref="L7:L8"/>
    <mergeCell ref="A12:H12"/>
    <mergeCell ref="A2:L2"/>
    <mergeCell ref="A4:L4"/>
    <mergeCell ref="A7:A8"/>
    <mergeCell ref="B7:B8"/>
    <mergeCell ref="C7:C8"/>
    <mergeCell ref="D7:D8"/>
    <mergeCell ref="E7:E8"/>
    <mergeCell ref="F7:F8"/>
    <mergeCell ref="G7:G8"/>
    <mergeCell ref="A3:L3"/>
    <mergeCell ref="A5:L5"/>
    <mergeCell ref="H7:H8"/>
    <mergeCell ref="I7:K7"/>
  </mergeCells>
  <pageMargins left="0.19685039370078741" right="0.19685039370078741" top="0.23622047244094488" bottom="0.51181102362204722" header="0" footer="3.937007874015748E-2"/>
  <pageSetup paperSize="9" scale="95" fitToHeight="0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7C36E-F2CE-44FE-A328-1231B8BC37C1}">
  <sheetPr>
    <pageSetUpPr fitToPage="1"/>
  </sheetPr>
  <dimension ref="A1:H23"/>
  <sheetViews>
    <sheetView topLeftCell="A16" zoomScale="98" zoomScaleNormal="98" workbookViewId="0">
      <selection activeCell="E27" sqref="E27"/>
    </sheetView>
  </sheetViews>
  <sheetFormatPr defaultColWidth="9" defaultRowHeight="24"/>
  <cols>
    <col min="1" max="1" width="7.42578125" style="1" customWidth="1"/>
    <col min="2" max="2" width="8.42578125" style="1" customWidth="1"/>
    <col min="3" max="3" width="15" style="1" customWidth="1"/>
    <col min="4" max="4" width="15.7109375" style="1" customWidth="1"/>
    <col min="5" max="5" width="50" style="1" customWidth="1"/>
    <col min="6" max="6" width="30.28515625" style="1" customWidth="1"/>
    <col min="7" max="7" width="32.28515625" style="1" customWidth="1"/>
    <col min="8" max="16384" width="9" style="1"/>
  </cols>
  <sheetData>
    <row r="1" spans="1:8">
      <c r="G1" s="2" t="s">
        <v>35</v>
      </c>
    </row>
    <row r="2" spans="1:8">
      <c r="A2" s="67" t="s">
        <v>17</v>
      </c>
      <c r="B2" s="67"/>
      <c r="C2" s="67"/>
      <c r="D2" s="67"/>
      <c r="E2" s="67"/>
      <c r="F2" s="67"/>
      <c r="G2" s="67"/>
    </row>
    <row r="3" spans="1:8">
      <c r="A3" s="68" t="s">
        <v>16</v>
      </c>
      <c r="B3" s="68"/>
      <c r="C3" s="68"/>
      <c r="D3" s="68"/>
      <c r="E3" s="68"/>
      <c r="F3" s="68"/>
      <c r="G3" s="68"/>
    </row>
    <row r="4" spans="1:8">
      <c r="A4" s="68" t="s">
        <v>12</v>
      </c>
      <c r="B4" s="68"/>
      <c r="C4" s="68"/>
      <c r="D4" s="68"/>
      <c r="E4" s="68"/>
      <c r="F4" s="68"/>
      <c r="G4" s="68"/>
    </row>
    <row r="5" spans="1:8">
      <c r="A5" s="68" t="s">
        <v>15</v>
      </c>
      <c r="B5" s="68"/>
      <c r="C5" s="68"/>
      <c r="D5" s="68"/>
      <c r="E5" s="68"/>
      <c r="F5" s="68"/>
      <c r="G5" s="68"/>
    </row>
    <row r="6" spans="1:8">
      <c r="A6" s="9"/>
      <c r="B6" s="9"/>
      <c r="C6" s="9"/>
      <c r="D6" s="9"/>
      <c r="E6" s="9"/>
      <c r="F6" s="9"/>
      <c r="G6" s="9"/>
    </row>
    <row r="7" spans="1:8" ht="28.5" customHeight="1">
      <c r="A7" s="63" t="s">
        <v>0</v>
      </c>
      <c r="B7" s="69" t="s">
        <v>10</v>
      </c>
      <c r="C7" s="63" t="s">
        <v>1</v>
      </c>
      <c r="D7" s="63" t="s">
        <v>2</v>
      </c>
      <c r="E7" s="63" t="s">
        <v>3</v>
      </c>
      <c r="F7" s="63" t="s">
        <v>20</v>
      </c>
      <c r="G7" s="63" t="s">
        <v>9</v>
      </c>
      <c r="H7" s="3"/>
    </row>
    <row r="8" spans="1:8">
      <c r="A8" s="63"/>
      <c r="B8" s="69"/>
      <c r="C8" s="63"/>
      <c r="D8" s="63"/>
      <c r="E8" s="63"/>
      <c r="F8" s="63"/>
      <c r="G8" s="63"/>
      <c r="H8" s="3"/>
    </row>
    <row r="9" spans="1:8">
      <c r="A9" s="4"/>
      <c r="B9" s="4"/>
      <c r="C9" s="7"/>
      <c r="D9" s="7"/>
      <c r="E9" s="8"/>
      <c r="F9" s="4"/>
      <c r="G9" s="4"/>
    </row>
    <row r="10" spans="1:8">
      <c r="A10" s="4"/>
      <c r="B10" s="4"/>
      <c r="C10" s="7"/>
      <c r="D10" s="7"/>
      <c r="E10" s="8"/>
      <c r="F10" s="4"/>
      <c r="G10" s="4"/>
    </row>
    <row r="11" spans="1:8">
      <c r="A11" s="4"/>
      <c r="B11" s="4"/>
      <c r="C11" s="7"/>
      <c r="D11" s="7"/>
      <c r="E11" s="8"/>
      <c r="F11" s="4"/>
      <c r="G11" s="4"/>
    </row>
    <row r="12" spans="1:8">
      <c r="A12" s="4"/>
      <c r="B12" s="4"/>
      <c r="C12" s="7"/>
      <c r="D12" s="7"/>
      <c r="E12" s="8"/>
      <c r="F12" s="4"/>
      <c r="G12" s="4"/>
    </row>
    <row r="13" spans="1:8">
      <c r="A13" s="72" t="s">
        <v>21</v>
      </c>
      <c r="B13" s="73"/>
      <c r="C13" s="73"/>
      <c r="D13" s="73"/>
      <c r="E13" s="73"/>
      <c r="F13" s="73"/>
      <c r="G13" s="4"/>
    </row>
    <row r="15" spans="1:8">
      <c r="A15" s="5" t="s">
        <v>9</v>
      </c>
      <c r="F15" s="1" t="s">
        <v>30</v>
      </c>
    </row>
    <row r="16" spans="1:8">
      <c r="A16" s="1" t="s">
        <v>36</v>
      </c>
      <c r="F16" s="1" t="s">
        <v>31</v>
      </c>
    </row>
    <row r="17" spans="1:7">
      <c r="A17" s="1" t="s">
        <v>42</v>
      </c>
      <c r="F17" s="1" t="s">
        <v>23</v>
      </c>
    </row>
    <row r="18" spans="1:7">
      <c r="A18" s="1" t="s">
        <v>43</v>
      </c>
      <c r="F18" s="1" t="s">
        <v>29</v>
      </c>
    </row>
    <row r="19" spans="1:7">
      <c r="A19" s="1" t="s">
        <v>37</v>
      </c>
      <c r="F19" s="1" t="s">
        <v>31</v>
      </c>
    </row>
    <row r="20" spans="1:7">
      <c r="F20" s="1" t="s">
        <v>14</v>
      </c>
    </row>
    <row r="21" spans="1:7">
      <c r="A21" s="74" t="s">
        <v>19</v>
      </c>
      <c r="B21" s="74"/>
      <c r="C21" s="74"/>
      <c r="D21" s="74"/>
      <c r="E21" s="74"/>
      <c r="F21" s="74"/>
      <c r="G21" s="74"/>
    </row>
    <row r="22" spans="1:7">
      <c r="A22" s="74"/>
      <c r="B22" s="74"/>
      <c r="C22" s="74"/>
      <c r="D22" s="74"/>
      <c r="E22" s="74"/>
      <c r="F22" s="74"/>
      <c r="G22" s="74"/>
    </row>
    <row r="23" spans="1:7">
      <c r="A23" s="74"/>
      <c r="B23" s="74"/>
      <c r="C23" s="74"/>
      <c r="D23" s="74"/>
      <c r="E23" s="74"/>
      <c r="F23" s="74"/>
      <c r="G23" s="74"/>
    </row>
  </sheetData>
  <mergeCells count="15">
    <mergeCell ref="A13:F13"/>
    <mergeCell ref="A21:G21"/>
    <mergeCell ref="A22:G22"/>
    <mergeCell ref="A23:G23"/>
    <mergeCell ref="A2:G2"/>
    <mergeCell ref="A3:G3"/>
    <mergeCell ref="A4:G4"/>
    <mergeCell ref="A5:G5"/>
    <mergeCell ref="A7:A8"/>
    <mergeCell ref="B7:B8"/>
    <mergeCell ref="C7:C8"/>
    <mergeCell ref="D7:D8"/>
    <mergeCell ref="E7:E8"/>
    <mergeCell ref="F7:F8"/>
    <mergeCell ref="G7:G8"/>
  </mergeCells>
  <pageMargins left="0.2" right="0.2" top="0.75" bottom="0.75" header="0.3" footer="0.3"/>
  <pageSetup paperSize="9" scale="90" fitToHeight="0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F920C-1F83-48C6-99CA-89EF82CE246C}">
  <sheetPr>
    <pageSetUpPr fitToPage="1"/>
  </sheetPr>
  <dimension ref="A1:L21"/>
  <sheetViews>
    <sheetView workbookViewId="0">
      <selection activeCell="M11" sqref="A1:XFD1048576"/>
    </sheetView>
  </sheetViews>
  <sheetFormatPr defaultColWidth="9" defaultRowHeight="24"/>
  <cols>
    <col min="1" max="1" width="7.42578125" style="1" customWidth="1"/>
    <col min="2" max="2" width="8.42578125" style="1" customWidth="1"/>
    <col min="3" max="3" width="11.7109375" style="1" customWidth="1"/>
    <col min="4" max="4" width="12.5703125" style="1" customWidth="1"/>
    <col min="5" max="5" width="37.5703125" style="1" customWidth="1"/>
    <col min="6" max="6" width="11.28515625" style="1" customWidth="1"/>
    <col min="7" max="7" width="11.85546875" style="1" customWidth="1"/>
    <col min="8" max="8" width="6.42578125" style="1" customWidth="1"/>
    <col min="9" max="9" width="6.140625" style="1" customWidth="1"/>
    <col min="10" max="10" width="8" style="1" bestFit="1" customWidth="1"/>
    <col min="11" max="11" width="16.5703125" style="1" customWidth="1"/>
    <col min="12" max="16384" width="9" style="1"/>
  </cols>
  <sheetData>
    <row r="1" spans="1:12">
      <c r="K1" s="2" t="s">
        <v>32</v>
      </c>
    </row>
    <row r="2" spans="1:12">
      <c r="A2" s="67" t="s">
        <v>22</v>
      </c>
      <c r="B2" s="67"/>
      <c r="C2" s="67"/>
      <c r="D2" s="67"/>
      <c r="E2" s="67"/>
      <c r="F2" s="67"/>
      <c r="G2" s="67"/>
      <c r="H2" s="67"/>
      <c r="I2" s="67"/>
      <c r="J2" s="67"/>
      <c r="K2" s="67"/>
    </row>
    <row r="3" spans="1:12">
      <c r="A3" s="68" t="s">
        <v>16</v>
      </c>
      <c r="B3" s="68"/>
      <c r="C3" s="68"/>
      <c r="D3" s="68"/>
      <c r="E3" s="68"/>
      <c r="F3" s="68"/>
      <c r="G3" s="68"/>
      <c r="H3" s="68"/>
      <c r="I3" s="68"/>
      <c r="J3" s="68"/>
      <c r="K3" s="68"/>
    </row>
    <row r="4" spans="1:12">
      <c r="A4" s="68" t="s">
        <v>12</v>
      </c>
      <c r="B4" s="68"/>
      <c r="C4" s="68"/>
      <c r="D4" s="68"/>
      <c r="E4" s="68"/>
      <c r="F4" s="68"/>
      <c r="G4" s="68"/>
      <c r="H4" s="68"/>
      <c r="I4" s="68"/>
      <c r="J4" s="68"/>
      <c r="K4" s="68"/>
    </row>
    <row r="5" spans="1:12">
      <c r="A5" s="68" t="s">
        <v>15</v>
      </c>
      <c r="B5" s="68"/>
      <c r="C5" s="68"/>
      <c r="D5" s="68"/>
      <c r="E5" s="68"/>
      <c r="F5" s="68"/>
      <c r="G5" s="68"/>
      <c r="H5" s="68"/>
      <c r="I5" s="68"/>
      <c r="J5" s="68"/>
      <c r="K5" s="68"/>
    </row>
    <row r="7" spans="1:12" ht="28.5" customHeight="1">
      <c r="A7" s="63" t="s">
        <v>0</v>
      </c>
      <c r="B7" s="69" t="s">
        <v>10</v>
      </c>
      <c r="C7" s="63" t="s">
        <v>1</v>
      </c>
      <c r="D7" s="63" t="s">
        <v>2</v>
      </c>
      <c r="E7" s="63" t="s">
        <v>3</v>
      </c>
      <c r="F7" s="63" t="s">
        <v>5</v>
      </c>
      <c r="G7" s="69" t="s">
        <v>11</v>
      </c>
      <c r="H7" s="63" t="s">
        <v>24</v>
      </c>
      <c r="I7" s="63"/>
      <c r="J7" s="63"/>
      <c r="K7" s="63" t="s">
        <v>9</v>
      </c>
      <c r="L7" s="3"/>
    </row>
    <row r="8" spans="1:12">
      <c r="A8" s="63"/>
      <c r="B8" s="69"/>
      <c r="C8" s="63"/>
      <c r="D8" s="63"/>
      <c r="E8" s="63"/>
      <c r="F8" s="63"/>
      <c r="G8" s="69"/>
      <c r="H8" s="11" t="s">
        <v>6</v>
      </c>
      <c r="I8" s="11" t="s">
        <v>7</v>
      </c>
      <c r="J8" s="11" t="s">
        <v>8</v>
      </c>
      <c r="K8" s="63"/>
      <c r="L8" s="3"/>
    </row>
    <row r="9" spans="1:12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  <row r="10" spans="1:1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2">
      <c r="A13" s="75" t="s">
        <v>27</v>
      </c>
      <c r="B13" s="76"/>
      <c r="C13" s="76"/>
      <c r="D13" s="76"/>
      <c r="E13" s="76"/>
      <c r="F13" s="76"/>
      <c r="G13" s="77"/>
      <c r="H13" s="4"/>
      <c r="I13" s="4"/>
      <c r="J13" s="4"/>
      <c r="K13" s="4"/>
    </row>
    <row r="15" spans="1:12">
      <c r="A15" s="5" t="s">
        <v>9</v>
      </c>
      <c r="F15" s="1" t="s">
        <v>30</v>
      </c>
    </row>
    <row r="16" spans="1:12">
      <c r="A16" s="1" t="s">
        <v>38</v>
      </c>
      <c r="F16" s="1" t="s">
        <v>31</v>
      </c>
    </row>
    <row r="17" spans="1:11">
      <c r="A17" s="1" t="s">
        <v>39</v>
      </c>
      <c r="F17" s="1" t="s">
        <v>23</v>
      </c>
    </row>
    <row r="18" spans="1:11">
      <c r="A18" s="1" t="s">
        <v>41</v>
      </c>
      <c r="F18" s="1" t="s">
        <v>29</v>
      </c>
    </row>
    <row r="19" spans="1:11">
      <c r="F19" s="1" t="s">
        <v>31</v>
      </c>
    </row>
    <row r="20" spans="1:11">
      <c r="F20" s="1" t="s">
        <v>14</v>
      </c>
    </row>
    <row r="21" spans="1:11">
      <c r="A21" s="74" t="s">
        <v>13</v>
      </c>
      <c r="B21" s="74"/>
      <c r="C21" s="74"/>
      <c r="D21" s="74"/>
      <c r="E21" s="74"/>
      <c r="F21" s="74"/>
      <c r="G21" s="74"/>
      <c r="H21" s="74"/>
      <c r="I21" s="74"/>
      <c r="J21" s="74"/>
      <c r="K21" s="74"/>
    </row>
  </sheetData>
  <mergeCells count="15">
    <mergeCell ref="A13:G13"/>
    <mergeCell ref="A21:K21"/>
    <mergeCell ref="F7:F8"/>
    <mergeCell ref="A2:K2"/>
    <mergeCell ref="A4:K4"/>
    <mergeCell ref="A5:K5"/>
    <mergeCell ref="G7:G8"/>
    <mergeCell ref="H7:J7"/>
    <mergeCell ref="K7:K8"/>
    <mergeCell ref="A3:K3"/>
    <mergeCell ref="A7:A8"/>
    <mergeCell ref="B7:B8"/>
    <mergeCell ref="C7:C8"/>
    <mergeCell ref="D7:D8"/>
    <mergeCell ref="E7:E8"/>
  </mergeCells>
  <pageMargins left="0" right="0" top="0.74803149606299213" bottom="0.74803149606299213" header="0.31496062992125984" footer="0.31496062992125984"/>
  <pageSetup paperSize="9" scale="99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6-3Newตัวอย่าง</vt:lpstr>
      <vt:lpstr>6-2new (2)</vt:lpstr>
      <vt:lpstr>6-1new ตัวอย่าง</vt:lpstr>
      <vt:lpstr>6-1new</vt:lpstr>
      <vt:lpstr>6-2new</vt:lpstr>
      <vt:lpstr>6-3New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Chatchai</dc:creator>
  <cp:lastModifiedBy>PCMD</cp:lastModifiedBy>
  <cp:lastPrinted>2025-02-23T07:14:26Z</cp:lastPrinted>
  <dcterms:created xsi:type="dcterms:W3CDTF">2024-11-27T02:39:57Z</dcterms:created>
  <dcterms:modified xsi:type="dcterms:W3CDTF">2026-02-02T06:25:11Z</dcterms:modified>
</cp:coreProperties>
</file>