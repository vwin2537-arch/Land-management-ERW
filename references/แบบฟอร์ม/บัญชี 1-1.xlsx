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งานแก้ไขปัญหาที่ดิน\12งานปี69\2กิจกรรมตรวจสอบคุณสมบัติบุคคล\ประชุมซักซ้อมความเข้าใขการตรวจสอบคุณสมบัตื\แบบฟอร์มรังวัดสอบทาน\"/>
    </mc:Choice>
  </mc:AlternateContent>
  <xr:revisionPtr revIDLastSave="0" documentId="13_ncr:1_{857330A1-A0E9-4012-9A41-7A5CE151317B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บัญชี1-1ตัวอย่าง" sheetId="2" r:id="rId1"/>
    <sheet name="บัญชี1-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2" l="1"/>
  <c r="K18" i="2" s="1"/>
  <c r="J17" i="2"/>
  <c r="I17" i="2"/>
  <c r="I18" i="2" l="1"/>
  <c r="J18" i="2"/>
  <c r="K17" i="1"/>
  <c r="J17" i="1"/>
  <c r="I17" i="1"/>
  <c r="J18" i="1" l="1"/>
  <c r="I18" i="1"/>
  <c r="K18" i="1"/>
</calcChain>
</file>

<file path=xl/sharedStrings.xml><?xml version="1.0" encoding="utf-8"?>
<sst xmlns="http://schemas.openxmlformats.org/spreadsheetml/2006/main" count="162" uniqueCount="78">
  <si>
    <t>ท้องที่หมู่บ้าน................... หมู่ที่ ...... ตำบล.......... อำเภอ...........จังหวัด............</t>
  </si>
  <si>
    <t>เขตสำรวจที่</t>
  </si>
  <si>
    <t>ลำดับที่</t>
  </si>
  <si>
    <t>คำนำ หน้าชื่อ</t>
  </si>
  <si>
    <t>ชื่อ</t>
  </si>
  <si>
    <t>นามสกุล</t>
  </si>
  <si>
    <t>เลขประจำตัวประชาชน</t>
  </si>
  <si>
    <t>ที่ดินสำรวจเลขที่</t>
  </si>
  <si>
    <t>เนื้อที่ประมาณ</t>
  </si>
  <si>
    <t>หมายเหตุ</t>
  </si>
  <si>
    <t>ไร่</t>
  </si>
  <si>
    <t>งาน</t>
  </si>
  <si>
    <t>ตารางวา</t>
  </si>
  <si>
    <t xml:space="preserve">            (.................................................................)</t>
  </si>
  <si>
    <t>ตำแหน่ง</t>
  </si>
  <si>
    <t>................................................................</t>
  </si>
  <si>
    <t xml:space="preserve">         ภายใน .........(ชื่อป่าอนุรักษ์)....................................</t>
  </si>
  <si>
    <t>ที่ดินเลขที่</t>
  </si>
  <si>
    <t xml:space="preserve">                                   รวมจำนวน................................ราย...............................แปลง เนื้อที่ประมาณ</t>
  </si>
  <si>
    <t>- ไม่เป็นพื้นที่ล่อแหลมคุกคามต่อระบบนิเวศ ราย............แปลง.........เนื้อที่โดยประมาณ .........ไร่..........งาน..........วา</t>
  </si>
  <si>
    <t>- เป็นพื้นที่ล่อแหลมคุกคามต่อระบบนิเวศ ราย............แปลง.........เนื้อที่โดยประมาณ .........ไร่..........งาน..........วา</t>
  </si>
  <si>
    <t>1</t>
  </si>
  <si>
    <t>เขตโครงการฯให้ขึ้นต้นด้วยเลข 1 และตามด้วยเลขเขตโครงการ ตัวเลข 4 หลัก</t>
  </si>
  <si>
    <t>2</t>
  </si>
  <si>
    <t>3</t>
  </si>
  <si>
    <t>4</t>
  </si>
  <si>
    <t>ช่องหมายเหตุให้ระบุว่าเป็นพื้นที่ล่อแหลมฯ สำหรับแปลงที่อยู่ในพื้นที่ล่อแหลม</t>
  </si>
  <si>
    <t xml:space="preserve"> เช่น เขตโครงการฯ ที่ 1 เป็น 10001 เป็นต้น</t>
  </si>
  <si>
    <t xml:space="preserve"> เช่น ที่ดินเลขที่ 1 เป็น 20001 เป็นต้น</t>
  </si>
  <si>
    <t xml:space="preserve"> เช่น ที่ดินเลขที่ 1 เป็น 10001  เป็นต้น</t>
  </si>
  <si>
    <t xml:space="preserve"> โดยแต่ละเขตโครงการฯให้เริ่มต้นที่ดินเลขที่ 10001 หรือ 20001 ทุกเขต</t>
  </si>
  <si>
    <t>หัวหน้า.......................(ชื่อป่าอนุรักษ์)...................</t>
  </si>
  <si>
    <t>5</t>
  </si>
  <si>
    <t>แปลงคดีในช่องหมายเหตุให้ระบุว่าเป็นพื้นที่ ล่อแหลม/แปลงคดี หรือ ไม่ล่อแหลม/แปลงคดี</t>
  </si>
  <si>
    <t xml:space="preserve">   (บัญชี 1-1)</t>
  </si>
  <si>
    <t xml:space="preserve">ภายใต้บันทึกข้อตกลงความร่วมมือในการบริหารจัดการที่ดินทรัพยากรธรรมชาติ และพัฒนาคุณภาพชีวิตของประชาชนที่อยู่อาศัยทำกินในเขตป่าอนุรักษ์ </t>
  </si>
  <si>
    <t xml:space="preserve">      บัญชีรายชื่อราษฎรพร้อมจำนวนที่ดินผู้อยู่อาศัยหรือทำกิน</t>
  </si>
  <si>
    <t>เขตโครงการอนุรักษ์และดูแลรักษาทรัพยากรธรรมชาติ</t>
  </si>
  <si>
    <t>ให้ขึ้นต้นด้วยเลข 1 และตามด้วยเลขที่ดิน 4 หลัก</t>
  </si>
  <si>
    <t>ที่ดินเลขที่ของราษฎรที่อยู่ในกรอบเวลาตามมติ ครม. เมื่อวันที่ 30 มิถุนายน 2541</t>
  </si>
  <si>
    <t xml:space="preserve">ที่ดินเลขที่ของราษฎรที่อยู่ตามกรอบเวลาตามคำสั่ง คสช.ที่ 66/2557 ลงวันที่ 17 มิถุนายน พ.ศ. 2557 </t>
  </si>
  <si>
    <t>ให้ขึ้นต้นด้วยเลข 2 และตามด้วยเลขที่ดิน 4 หลัก</t>
  </si>
  <si>
    <t xml:space="preserve">  (ลงชื่อ)............................................................ประธานคณะกรรมการพิจารณาผลฯ</t>
  </si>
  <si>
    <t xml:space="preserve"> (ลงชื่อ)..........................................................หัวหน้าคณะทำงานสำรวจการครอบครองฯ</t>
  </si>
  <si>
    <t xml:space="preserve">  (ลงชื่อ)............................................................คณะทำงานและเลขานุการ</t>
  </si>
  <si>
    <t xml:space="preserve"> (ลงชื่อ)............................................................ผู้แทนองค์กรปกครองส่วนท้องถิ่นท้องที่</t>
  </si>
  <si>
    <t xml:space="preserve">        (.................................................................)  คณะทำงานสำรวจการครอบครองฯ</t>
  </si>
  <si>
    <t>…........................................................</t>
  </si>
  <si>
    <t xml:space="preserve">  (ลงชื่อ)............................................................กำนัน/ผู้ใหญ่บ้าน</t>
  </si>
  <si>
    <t xml:space="preserve">       (.................................................................)</t>
  </si>
  <si>
    <t xml:space="preserve">   ที่ ......................</t>
  </si>
  <si>
    <t>นาย</t>
  </si>
  <si>
    <t>กอ</t>
  </si>
  <si>
    <t>ขอ</t>
  </si>
  <si>
    <t>คอ</t>
  </si>
  <si>
    <t>งอ</t>
  </si>
  <si>
    <t>จอ</t>
  </si>
  <si>
    <t>ฉอ</t>
  </si>
  <si>
    <t>ฌอ</t>
  </si>
  <si>
    <t>ยินดี</t>
  </si>
  <si>
    <t>ปรีดา</t>
  </si>
  <si>
    <t>สนใจ</t>
  </si>
  <si>
    <t>น่ารัก</t>
  </si>
  <si>
    <t>สดใส</t>
  </si>
  <si>
    <t>สดชื่น</t>
  </si>
  <si>
    <t>งดงาม</t>
  </si>
  <si>
    <t>xxxxxxxxxxxxx</t>
  </si>
  <si>
    <t>00001</t>
  </si>
  <si>
    <t>00003</t>
  </si>
  <si>
    <t>00004</t>
  </si>
  <si>
    <t>00005</t>
  </si>
  <si>
    <t>00006</t>
  </si>
  <si>
    <t>00007</t>
  </si>
  <si>
    <t>00002</t>
  </si>
  <si>
    <t>เป็นพื้นที่ล่อแหลมฯ</t>
  </si>
  <si>
    <t>ล่อแหลม/แปลงคดี</t>
  </si>
  <si>
    <t xml:space="preserve">   ที่ 10001</t>
  </si>
  <si>
    <t>นาง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</si>
</sst>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>
    <font>
      <sz val="11"/>
      <color theme="1"/>
      <name val="Calibri"/>
      <family val="2"/>
      <charset val="222"/>
      <scheme val="minor"/>
    </font>
    <font>
      <sz val="16"/>
      <color theme="1"/>
      <name val="TH SarabunIT๙"/>
      <family val="2"/>
    </font>
    <font>
      <sz val="16"/>
      <name val="TH SarabunIT๙"/>
      <family val="2"/>
    </font>
    <font>
      <sz val="14"/>
      <color theme="1"/>
      <name val="TH SarabunIT๙"/>
      <family val="2"/>
    </font>
    <font>
      <sz val="13"/>
      <color theme="1"/>
      <name val="TH SarabunIT๙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1" fontId="1" fillId="0" borderId="0" xfId="0" applyNumberFormat="1" applyFont="1"/>
    <xf numFmtId="49" fontId="1" fillId="0" borderId="0" xfId="0" applyNumberFormat="1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3" fillId="0" borderId="0" xfId="0" applyNumberFormat="1" applyFont="1"/>
    <xf numFmtId="0" fontId="4" fillId="0" borderId="0" xfId="0" applyFont="1"/>
    <xf numFmtId="49" fontId="1" fillId="0" borderId="1" xfId="0" quotePrefix="1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C69B-3BA1-4433-A2D9-D22557F97AA9}">
  <dimension ref="A1:M41"/>
  <sheetViews>
    <sheetView tabSelected="1" topLeftCell="A7" zoomScaleNormal="100" workbookViewId="0">
      <selection activeCell="B16" sqref="B16"/>
    </sheetView>
  </sheetViews>
  <sheetFormatPr defaultColWidth="9" defaultRowHeight="20.25"/>
  <cols>
    <col min="1" max="1" width="8.42578125" style="1" customWidth="1"/>
    <col min="2" max="2" width="8.85546875" style="1" customWidth="1"/>
    <col min="3" max="3" width="15.7109375" style="1" customWidth="1"/>
    <col min="4" max="4" width="20.42578125" style="1" customWidth="1"/>
    <col min="5" max="5" width="17.42578125" style="1" customWidth="1"/>
    <col min="6" max="6" width="10" style="1" customWidth="1"/>
    <col min="7" max="7" width="11.140625" style="1" customWidth="1"/>
    <col min="8" max="8" width="9.7109375" style="1" customWidth="1"/>
    <col min="9" max="9" width="11.85546875" style="1" customWidth="1"/>
    <col min="10" max="10" width="10.5703125" style="1" customWidth="1"/>
    <col min="11" max="11" width="11.28515625" style="1" customWidth="1"/>
    <col min="12" max="12" width="16.5703125" style="1" bestFit="1" customWidth="1"/>
    <col min="13" max="16384" width="9" style="1"/>
  </cols>
  <sheetData>
    <row r="1" spans="1:13">
      <c r="L1" s="15" t="s">
        <v>34</v>
      </c>
    </row>
    <row r="2" spans="1:13">
      <c r="A2" s="28" t="s">
        <v>36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>
      <c r="A3" s="28" t="s">
        <v>16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3">
      <c r="A4" s="28" t="s">
        <v>35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3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>
      <c r="D6" s="3" t="s">
        <v>37</v>
      </c>
      <c r="F6" s="4" t="s">
        <v>76</v>
      </c>
    </row>
    <row r="8" spans="1:13">
      <c r="A8" s="24" t="s">
        <v>2</v>
      </c>
      <c r="B8" s="29" t="s">
        <v>3</v>
      </c>
      <c r="C8" s="24" t="s">
        <v>4</v>
      </c>
      <c r="D8" s="24" t="s">
        <v>5</v>
      </c>
      <c r="E8" s="24" t="s">
        <v>6</v>
      </c>
      <c r="F8" s="20" t="s">
        <v>17</v>
      </c>
      <c r="G8" s="20" t="s">
        <v>1</v>
      </c>
      <c r="H8" s="22" t="s">
        <v>7</v>
      </c>
      <c r="I8" s="23" t="s">
        <v>8</v>
      </c>
      <c r="J8" s="23"/>
      <c r="K8" s="23"/>
      <c r="L8" s="24" t="s">
        <v>9</v>
      </c>
    </row>
    <row r="9" spans="1:13">
      <c r="A9" s="24"/>
      <c r="B9" s="29"/>
      <c r="C9" s="24"/>
      <c r="D9" s="24"/>
      <c r="E9" s="24"/>
      <c r="F9" s="21"/>
      <c r="G9" s="21"/>
      <c r="H9" s="22"/>
      <c r="I9" s="16" t="s">
        <v>10</v>
      </c>
      <c r="J9" s="16" t="s">
        <v>11</v>
      </c>
      <c r="K9" s="16" t="s">
        <v>12</v>
      </c>
      <c r="L9" s="24"/>
    </row>
    <row r="10" spans="1:13">
      <c r="A10" s="16">
        <v>1</v>
      </c>
      <c r="B10" s="6" t="s">
        <v>51</v>
      </c>
      <c r="C10" s="6" t="s">
        <v>52</v>
      </c>
      <c r="D10" s="6" t="s">
        <v>59</v>
      </c>
      <c r="E10" s="6" t="s">
        <v>66</v>
      </c>
      <c r="F10" s="6">
        <v>10001</v>
      </c>
      <c r="G10" s="19" t="s">
        <v>67</v>
      </c>
      <c r="H10" s="19" t="s">
        <v>67</v>
      </c>
      <c r="I10" s="6">
        <v>25</v>
      </c>
      <c r="J10" s="6">
        <v>1</v>
      </c>
      <c r="K10" s="6">
        <v>20</v>
      </c>
      <c r="L10" s="16"/>
    </row>
    <row r="11" spans="1:13">
      <c r="A11" s="16">
        <v>2</v>
      </c>
      <c r="B11" s="6" t="s">
        <v>51</v>
      </c>
      <c r="C11" s="6" t="s">
        <v>53</v>
      </c>
      <c r="D11" s="6" t="s">
        <v>60</v>
      </c>
      <c r="E11" s="6" t="s">
        <v>66</v>
      </c>
      <c r="F11" s="6">
        <v>10002</v>
      </c>
      <c r="G11" s="19" t="s">
        <v>67</v>
      </c>
      <c r="H11" s="19" t="s">
        <v>73</v>
      </c>
      <c r="I11" s="6">
        <v>55</v>
      </c>
      <c r="J11" s="6">
        <v>3</v>
      </c>
      <c r="K11" s="6">
        <v>64</v>
      </c>
      <c r="L11" s="16"/>
    </row>
    <row r="12" spans="1:13">
      <c r="A12" s="16">
        <v>3</v>
      </c>
      <c r="B12" s="6" t="s">
        <v>51</v>
      </c>
      <c r="C12" s="6" t="s">
        <v>54</v>
      </c>
      <c r="D12" s="6" t="s">
        <v>61</v>
      </c>
      <c r="E12" s="6" t="s">
        <v>66</v>
      </c>
      <c r="F12" s="6">
        <v>20003</v>
      </c>
      <c r="G12" s="19" t="s">
        <v>67</v>
      </c>
      <c r="H12" s="19" t="s">
        <v>68</v>
      </c>
      <c r="I12" s="6">
        <v>33</v>
      </c>
      <c r="J12" s="6">
        <v>1</v>
      </c>
      <c r="K12" s="6">
        <v>20</v>
      </c>
      <c r="L12" s="16"/>
    </row>
    <row r="13" spans="1:13">
      <c r="A13" s="16">
        <v>4</v>
      </c>
      <c r="B13" s="6" t="s">
        <v>77</v>
      </c>
      <c r="C13" s="6" t="s">
        <v>55</v>
      </c>
      <c r="D13" s="6" t="s">
        <v>62</v>
      </c>
      <c r="E13" s="6" t="s">
        <v>66</v>
      </c>
      <c r="F13" s="6">
        <v>20004</v>
      </c>
      <c r="G13" s="19" t="s">
        <v>67</v>
      </c>
      <c r="H13" s="19" t="s">
        <v>69</v>
      </c>
      <c r="I13" s="6">
        <v>8</v>
      </c>
      <c r="J13" s="6">
        <v>2</v>
      </c>
      <c r="K13" s="6">
        <v>33</v>
      </c>
      <c r="L13" s="16"/>
    </row>
    <row r="14" spans="1:13">
      <c r="A14" s="16">
        <v>5</v>
      </c>
      <c r="B14" s="6" t="s">
        <v>77</v>
      </c>
      <c r="C14" s="6" t="s">
        <v>56</v>
      </c>
      <c r="D14" s="6" t="s">
        <v>63</v>
      </c>
      <c r="E14" s="6" t="s">
        <v>66</v>
      </c>
      <c r="F14" s="6">
        <v>10005</v>
      </c>
      <c r="G14" s="19" t="s">
        <v>67</v>
      </c>
      <c r="H14" s="19" t="s">
        <v>70</v>
      </c>
      <c r="I14" s="6">
        <v>10</v>
      </c>
      <c r="J14" s="6">
        <v>3</v>
      </c>
      <c r="K14" s="6">
        <v>45</v>
      </c>
      <c r="L14" s="16"/>
    </row>
    <row r="15" spans="1:13">
      <c r="A15" s="16">
        <v>6</v>
      </c>
      <c r="B15" s="6" t="s">
        <v>77</v>
      </c>
      <c r="C15" s="6" t="s">
        <v>57</v>
      </c>
      <c r="D15" s="6" t="s">
        <v>64</v>
      </c>
      <c r="E15" s="6" t="s">
        <v>66</v>
      </c>
      <c r="F15" s="6">
        <v>10006</v>
      </c>
      <c r="G15" s="19" t="s">
        <v>67</v>
      </c>
      <c r="H15" s="19" t="s">
        <v>71</v>
      </c>
      <c r="I15" s="6">
        <v>13</v>
      </c>
      <c r="J15" s="6">
        <v>2</v>
      </c>
      <c r="K15" s="6">
        <v>32</v>
      </c>
      <c r="L15" s="16" t="s">
        <v>74</v>
      </c>
    </row>
    <row r="16" spans="1:13">
      <c r="A16" s="16">
        <v>7</v>
      </c>
      <c r="B16" s="6" t="s">
        <v>77</v>
      </c>
      <c r="C16" s="6" t="s">
        <v>58</v>
      </c>
      <c r="D16" s="6" t="s">
        <v>65</v>
      </c>
      <c r="E16" s="6" t="s">
        <v>66</v>
      </c>
      <c r="F16" s="6">
        <v>10007</v>
      </c>
      <c r="G16" s="19" t="s">
        <v>67</v>
      </c>
      <c r="H16" s="19" t="s">
        <v>72</v>
      </c>
      <c r="I16" s="6">
        <v>5</v>
      </c>
      <c r="J16" s="6">
        <v>1</v>
      </c>
      <c r="K16" s="6">
        <v>11</v>
      </c>
      <c r="L16" s="16" t="s">
        <v>75</v>
      </c>
    </row>
    <row r="17" spans="1:12" s="10" customFormat="1" hidden="1">
      <c r="A17" s="8"/>
      <c r="B17" s="8"/>
      <c r="C17" s="8"/>
      <c r="D17" s="8"/>
      <c r="E17" s="8"/>
      <c r="F17" s="8"/>
      <c r="G17" s="8"/>
      <c r="H17" s="9"/>
      <c r="I17" s="6">
        <f>SUM(I10:I16)</f>
        <v>149</v>
      </c>
      <c r="J17" s="6">
        <f>SUM(J10:J16)</f>
        <v>13</v>
      </c>
      <c r="K17" s="6">
        <f>SUM(K10:K16)</f>
        <v>225</v>
      </c>
      <c r="L17" s="8"/>
    </row>
    <row r="18" spans="1:12">
      <c r="A18" s="25" t="s">
        <v>18</v>
      </c>
      <c r="B18" s="26"/>
      <c r="C18" s="26"/>
      <c r="D18" s="26"/>
      <c r="E18" s="26"/>
      <c r="F18" s="26"/>
      <c r="G18" s="26"/>
      <c r="H18" s="27"/>
      <c r="I18" s="16">
        <f>(TRUNC((TRUNC(K17/100)+J17)/4))+I17</f>
        <v>152</v>
      </c>
      <c r="J18" s="16">
        <f>MOD((TRUNC(K17/100)+J17),4)</f>
        <v>3</v>
      </c>
      <c r="K18" s="16">
        <f>MOD(K17,100)</f>
        <v>25</v>
      </c>
      <c r="L18" s="11"/>
    </row>
    <row r="19" spans="1:12">
      <c r="I19" s="12"/>
      <c r="J19" s="12"/>
      <c r="K19" s="12"/>
    </row>
    <row r="20" spans="1:12">
      <c r="A20" s="17" t="s">
        <v>19</v>
      </c>
      <c r="G20" s="1" t="s">
        <v>42</v>
      </c>
    </row>
    <row r="21" spans="1:12">
      <c r="A21" s="17" t="s">
        <v>20</v>
      </c>
      <c r="G21" s="1" t="s">
        <v>13</v>
      </c>
    </row>
    <row r="22" spans="1:12">
      <c r="A22" s="13"/>
      <c r="G22" s="1" t="s">
        <v>14</v>
      </c>
      <c r="H22" s="1" t="s">
        <v>15</v>
      </c>
    </row>
    <row r="23" spans="1:12">
      <c r="A23" s="13" t="s">
        <v>9</v>
      </c>
    </row>
    <row r="24" spans="1:12">
      <c r="A24" s="14" t="s">
        <v>21</v>
      </c>
      <c r="B24" s="1" t="s">
        <v>22</v>
      </c>
      <c r="G24" s="1" t="s">
        <v>43</v>
      </c>
    </row>
    <row r="25" spans="1:12">
      <c r="A25" s="14"/>
      <c r="B25" s="1" t="s">
        <v>27</v>
      </c>
      <c r="G25" s="1" t="s">
        <v>13</v>
      </c>
    </row>
    <row r="26" spans="1:12">
      <c r="A26" s="14" t="s">
        <v>23</v>
      </c>
      <c r="B26" s="1" t="s">
        <v>39</v>
      </c>
      <c r="G26" s="1" t="s">
        <v>14</v>
      </c>
      <c r="H26" s="1" t="s">
        <v>15</v>
      </c>
    </row>
    <row r="27" spans="1:12">
      <c r="A27" s="14"/>
      <c r="B27" s="1" t="s">
        <v>38</v>
      </c>
    </row>
    <row r="28" spans="1:12">
      <c r="A28" s="14"/>
      <c r="B28" s="1" t="s">
        <v>29</v>
      </c>
      <c r="G28" s="1" t="s">
        <v>44</v>
      </c>
    </row>
    <row r="29" spans="1:12">
      <c r="A29" s="14" t="s">
        <v>24</v>
      </c>
      <c r="B29" s="18" t="s">
        <v>40</v>
      </c>
      <c r="G29" s="1" t="s">
        <v>46</v>
      </c>
    </row>
    <row r="30" spans="1:12">
      <c r="A30" s="14"/>
      <c r="B30" s="1" t="s">
        <v>41</v>
      </c>
      <c r="G30" s="1" t="s">
        <v>14</v>
      </c>
      <c r="H30" s="1" t="s">
        <v>47</v>
      </c>
    </row>
    <row r="31" spans="1:12">
      <c r="A31" s="14"/>
      <c r="B31" s="1" t="s">
        <v>28</v>
      </c>
      <c r="G31" s="1" t="s">
        <v>31</v>
      </c>
    </row>
    <row r="32" spans="1:12">
      <c r="A32" s="14"/>
      <c r="B32" s="3" t="s">
        <v>30</v>
      </c>
    </row>
    <row r="33" spans="1:8">
      <c r="A33" s="14" t="s">
        <v>25</v>
      </c>
      <c r="B33" s="1" t="s">
        <v>26</v>
      </c>
      <c r="G33" s="1" t="s">
        <v>45</v>
      </c>
    </row>
    <row r="34" spans="1:8">
      <c r="A34" s="14" t="s">
        <v>32</v>
      </c>
      <c r="B34" s="1" t="s">
        <v>33</v>
      </c>
      <c r="G34" s="1" t="s">
        <v>13</v>
      </c>
    </row>
    <row r="35" spans="1:8">
      <c r="A35" s="13"/>
      <c r="G35" s="1" t="s">
        <v>14</v>
      </c>
      <c r="H35" s="1" t="s">
        <v>15</v>
      </c>
    </row>
    <row r="36" spans="1:8">
      <c r="A36" s="13"/>
    </row>
    <row r="37" spans="1:8">
      <c r="G37" s="1" t="s">
        <v>48</v>
      </c>
    </row>
    <row r="38" spans="1:8">
      <c r="G38" s="1" t="s">
        <v>49</v>
      </c>
    </row>
    <row r="39" spans="1:8">
      <c r="A39" s="13"/>
    </row>
    <row r="41" spans="1:8">
      <c r="A41" s="3"/>
    </row>
  </sheetData>
  <mergeCells count="15">
    <mergeCell ref="A2:L2"/>
    <mergeCell ref="A3:L3"/>
    <mergeCell ref="A4:L4"/>
    <mergeCell ref="A5:M5"/>
    <mergeCell ref="A8:A9"/>
    <mergeCell ref="B8:B9"/>
    <mergeCell ref="C8:C9"/>
    <mergeCell ref="D8:D9"/>
    <mergeCell ref="E8:E9"/>
    <mergeCell ref="F8:F9"/>
    <mergeCell ref="G8:G9"/>
    <mergeCell ref="H8:H9"/>
    <mergeCell ref="I8:K8"/>
    <mergeCell ref="L8:L9"/>
    <mergeCell ref="A18:H18"/>
  </mergeCells>
  <pageMargins left="0.78740157480314965" right="0" top="0.19685039370078741" bottom="0" header="0.31496062992125984" footer="0.15748031496062992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zoomScaleNormal="100" workbookViewId="0">
      <selection activeCell="D14" sqref="D14"/>
    </sheetView>
  </sheetViews>
  <sheetFormatPr defaultColWidth="9" defaultRowHeight="20.25"/>
  <cols>
    <col min="1" max="1" width="8.42578125" style="1" customWidth="1"/>
    <col min="2" max="2" width="8.85546875" style="1" customWidth="1"/>
    <col min="3" max="3" width="15.7109375" style="1" customWidth="1"/>
    <col min="4" max="4" width="20.42578125" style="1" customWidth="1"/>
    <col min="5" max="5" width="17.42578125" style="1" customWidth="1"/>
    <col min="6" max="6" width="10" style="1" customWidth="1"/>
    <col min="7" max="7" width="9.140625" style="1" customWidth="1"/>
    <col min="8" max="8" width="9.7109375" style="1" customWidth="1"/>
    <col min="9" max="9" width="11.85546875" style="1" customWidth="1"/>
    <col min="10" max="10" width="10.5703125" style="1" customWidth="1"/>
    <col min="11" max="11" width="11.28515625" style="1" customWidth="1"/>
    <col min="12" max="12" width="11.7109375" style="1" customWidth="1"/>
    <col min="13" max="16384" width="9" style="1"/>
  </cols>
  <sheetData>
    <row r="1" spans="1:13">
      <c r="L1" s="2" t="s">
        <v>34</v>
      </c>
    </row>
    <row r="2" spans="1:13">
      <c r="A2" s="28" t="s">
        <v>36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>
      <c r="A3" s="28" t="s">
        <v>16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3">
      <c r="A4" s="28" t="s">
        <v>35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3">
      <c r="A5" s="28" t="s">
        <v>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>
      <c r="D6" s="3" t="s">
        <v>37</v>
      </c>
      <c r="F6" s="4" t="s">
        <v>50</v>
      </c>
    </row>
    <row r="8" spans="1:13">
      <c r="A8" s="24" t="s">
        <v>2</v>
      </c>
      <c r="B8" s="29" t="s">
        <v>3</v>
      </c>
      <c r="C8" s="24" t="s">
        <v>4</v>
      </c>
      <c r="D8" s="24" t="s">
        <v>5</v>
      </c>
      <c r="E8" s="24" t="s">
        <v>6</v>
      </c>
      <c r="F8" s="20" t="s">
        <v>17</v>
      </c>
      <c r="G8" s="20" t="s">
        <v>1</v>
      </c>
      <c r="H8" s="22" t="s">
        <v>7</v>
      </c>
      <c r="I8" s="23" t="s">
        <v>8</v>
      </c>
      <c r="J8" s="23"/>
      <c r="K8" s="23"/>
      <c r="L8" s="24" t="s">
        <v>9</v>
      </c>
    </row>
    <row r="9" spans="1:13">
      <c r="A9" s="24"/>
      <c r="B9" s="29"/>
      <c r="C9" s="24"/>
      <c r="D9" s="24"/>
      <c r="E9" s="24"/>
      <c r="F9" s="21"/>
      <c r="G9" s="21"/>
      <c r="H9" s="22"/>
      <c r="I9" s="5" t="s">
        <v>10</v>
      </c>
      <c r="J9" s="5" t="s">
        <v>11</v>
      </c>
      <c r="K9" s="5" t="s">
        <v>12</v>
      </c>
      <c r="L9" s="24"/>
    </row>
    <row r="10" spans="1:13">
      <c r="A10" s="5"/>
      <c r="B10" s="6"/>
      <c r="C10" s="6"/>
      <c r="D10" s="6"/>
      <c r="E10" s="6"/>
      <c r="F10" s="6"/>
      <c r="G10" s="6"/>
      <c r="H10" s="7"/>
      <c r="I10" s="6"/>
      <c r="J10" s="6"/>
      <c r="K10" s="6"/>
      <c r="L10" s="5"/>
    </row>
    <row r="11" spans="1:13">
      <c r="A11" s="5"/>
      <c r="B11" s="6"/>
      <c r="C11" s="6"/>
      <c r="D11" s="6"/>
      <c r="E11" s="6"/>
      <c r="F11" s="6"/>
      <c r="G11" s="6"/>
      <c r="H11" s="7"/>
      <c r="I11" s="6"/>
      <c r="J11" s="6"/>
      <c r="K11" s="6"/>
      <c r="L11" s="5"/>
    </row>
    <row r="12" spans="1:13">
      <c r="A12" s="5"/>
      <c r="B12" s="6"/>
      <c r="C12" s="6"/>
      <c r="D12" s="6"/>
      <c r="E12" s="6"/>
      <c r="F12" s="6"/>
      <c r="G12" s="6"/>
      <c r="H12" s="7"/>
      <c r="I12" s="6"/>
      <c r="J12" s="6"/>
      <c r="K12" s="6"/>
      <c r="L12" s="5"/>
    </row>
    <row r="13" spans="1:13">
      <c r="A13" s="5"/>
      <c r="B13" s="6"/>
      <c r="C13" s="6"/>
      <c r="D13" s="6"/>
      <c r="E13" s="6"/>
      <c r="F13" s="6"/>
      <c r="G13" s="6"/>
      <c r="H13" s="7"/>
      <c r="I13" s="6"/>
      <c r="J13" s="6"/>
      <c r="K13" s="6"/>
      <c r="L13" s="5"/>
    </row>
    <row r="14" spans="1:13">
      <c r="A14" s="5"/>
      <c r="B14" s="6"/>
      <c r="C14" s="6"/>
      <c r="D14" s="6"/>
      <c r="E14" s="6"/>
      <c r="F14" s="6"/>
      <c r="G14" s="6"/>
      <c r="H14" s="7"/>
      <c r="I14" s="6"/>
      <c r="J14" s="6"/>
      <c r="K14" s="6"/>
      <c r="L14" s="5"/>
    </row>
    <row r="15" spans="1:13">
      <c r="A15" s="5"/>
      <c r="B15" s="6"/>
      <c r="C15" s="6"/>
      <c r="D15" s="6"/>
      <c r="E15" s="6"/>
      <c r="F15" s="6"/>
      <c r="G15" s="6"/>
      <c r="H15" s="7"/>
      <c r="I15" s="6"/>
      <c r="J15" s="6"/>
      <c r="K15" s="6"/>
      <c r="L15" s="5"/>
    </row>
    <row r="16" spans="1:13">
      <c r="A16" s="5"/>
      <c r="B16" s="6"/>
      <c r="C16" s="6"/>
      <c r="D16" s="6"/>
      <c r="E16" s="6"/>
      <c r="F16" s="6"/>
      <c r="G16" s="6"/>
      <c r="H16" s="7"/>
      <c r="I16" s="6"/>
      <c r="J16" s="6"/>
      <c r="K16" s="6"/>
      <c r="L16" s="5"/>
    </row>
    <row r="17" spans="1:12" s="10" customFormat="1" hidden="1">
      <c r="A17" s="8"/>
      <c r="B17" s="8"/>
      <c r="C17" s="8"/>
      <c r="D17" s="8"/>
      <c r="E17" s="8"/>
      <c r="F17" s="8"/>
      <c r="G17" s="8"/>
      <c r="H17" s="9"/>
      <c r="I17" s="6">
        <f>SUM(I10:I16)</f>
        <v>0</v>
      </c>
      <c r="J17" s="6">
        <f>SUM(J10:J16)</f>
        <v>0</v>
      </c>
      <c r="K17" s="6">
        <f>SUM(K10:K16)</f>
        <v>0</v>
      </c>
      <c r="L17" s="8"/>
    </row>
    <row r="18" spans="1:12">
      <c r="A18" s="25" t="s">
        <v>18</v>
      </c>
      <c r="B18" s="26"/>
      <c r="C18" s="26"/>
      <c r="D18" s="26"/>
      <c r="E18" s="26"/>
      <c r="F18" s="26"/>
      <c r="G18" s="26"/>
      <c r="H18" s="27"/>
      <c r="I18" s="5">
        <f>(TRUNC((TRUNC(K17/100)+J17)/4))+I17</f>
        <v>0</v>
      </c>
      <c r="J18" s="5">
        <f>MOD((TRUNC(K17/100)+J17),4)</f>
        <v>0</v>
      </c>
      <c r="K18" s="5">
        <f>MOD(K17,100)</f>
        <v>0</v>
      </c>
      <c r="L18" s="11"/>
    </row>
    <row r="19" spans="1:12">
      <c r="I19" s="12"/>
      <c r="J19" s="12"/>
      <c r="K19" s="12"/>
    </row>
    <row r="20" spans="1:12">
      <c r="A20" s="17" t="s">
        <v>19</v>
      </c>
      <c r="G20" s="1" t="s">
        <v>42</v>
      </c>
    </row>
    <row r="21" spans="1:12">
      <c r="A21" s="17" t="s">
        <v>20</v>
      </c>
      <c r="G21" s="1" t="s">
        <v>13</v>
      </c>
    </row>
    <row r="22" spans="1:12">
      <c r="A22" s="13"/>
      <c r="G22" s="1" t="s">
        <v>14</v>
      </c>
      <c r="H22" s="1" t="s">
        <v>15</v>
      </c>
    </row>
    <row r="23" spans="1:12">
      <c r="A23" s="13" t="s">
        <v>9</v>
      </c>
    </row>
    <row r="24" spans="1:12">
      <c r="A24" s="14" t="s">
        <v>21</v>
      </c>
      <c r="B24" s="1" t="s">
        <v>22</v>
      </c>
      <c r="G24" s="1" t="s">
        <v>43</v>
      </c>
    </row>
    <row r="25" spans="1:12">
      <c r="A25" s="14"/>
      <c r="B25" s="1" t="s">
        <v>27</v>
      </c>
      <c r="G25" s="1" t="s">
        <v>13</v>
      </c>
    </row>
    <row r="26" spans="1:12">
      <c r="A26" s="14" t="s">
        <v>23</v>
      </c>
      <c r="B26" s="1" t="s">
        <v>39</v>
      </c>
      <c r="G26" s="1" t="s">
        <v>14</v>
      </c>
      <c r="H26" s="1" t="s">
        <v>15</v>
      </c>
    </row>
    <row r="27" spans="1:12">
      <c r="A27" s="14"/>
      <c r="B27" s="1" t="s">
        <v>38</v>
      </c>
    </row>
    <row r="28" spans="1:12">
      <c r="A28" s="14"/>
      <c r="B28" s="1" t="s">
        <v>29</v>
      </c>
      <c r="G28" s="1" t="s">
        <v>44</v>
      </c>
    </row>
    <row r="29" spans="1:12">
      <c r="A29" s="14" t="s">
        <v>24</v>
      </c>
      <c r="B29" s="18" t="s">
        <v>40</v>
      </c>
      <c r="G29" s="1" t="s">
        <v>46</v>
      </c>
    </row>
    <row r="30" spans="1:12">
      <c r="A30" s="14"/>
      <c r="B30" s="1" t="s">
        <v>41</v>
      </c>
      <c r="G30" s="1" t="s">
        <v>14</v>
      </c>
      <c r="H30" s="1" t="s">
        <v>47</v>
      </c>
    </row>
    <row r="31" spans="1:12">
      <c r="A31" s="14"/>
      <c r="B31" s="1" t="s">
        <v>28</v>
      </c>
      <c r="G31" s="1" t="s">
        <v>31</v>
      </c>
    </row>
    <row r="32" spans="1:12">
      <c r="A32" s="14"/>
      <c r="B32" s="3" t="s">
        <v>30</v>
      </c>
    </row>
    <row r="33" spans="1:8">
      <c r="A33" s="14" t="s">
        <v>25</v>
      </c>
      <c r="B33" s="1" t="s">
        <v>26</v>
      </c>
      <c r="G33" s="1" t="s">
        <v>45</v>
      </c>
    </row>
    <row r="34" spans="1:8">
      <c r="A34" s="14" t="s">
        <v>32</v>
      </c>
      <c r="B34" s="1" t="s">
        <v>33</v>
      </c>
      <c r="G34" s="1" t="s">
        <v>13</v>
      </c>
    </row>
    <row r="35" spans="1:8">
      <c r="A35" s="13"/>
      <c r="G35" s="1" t="s">
        <v>14</v>
      </c>
      <c r="H35" s="1" t="s">
        <v>15</v>
      </c>
    </row>
    <row r="36" spans="1:8">
      <c r="A36" s="13"/>
    </row>
    <row r="37" spans="1:8">
      <c r="G37" s="1" t="s">
        <v>48</v>
      </c>
    </row>
    <row r="38" spans="1:8">
      <c r="G38" s="1" t="s">
        <v>49</v>
      </c>
    </row>
    <row r="39" spans="1:8">
      <c r="A39" s="13"/>
    </row>
    <row r="41" spans="1:8">
      <c r="A41" s="3"/>
    </row>
  </sheetData>
  <mergeCells count="15">
    <mergeCell ref="A2:L2"/>
    <mergeCell ref="L8:L9"/>
    <mergeCell ref="A18:H18"/>
    <mergeCell ref="A3:L3"/>
    <mergeCell ref="A5:M5"/>
    <mergeCell ref="A8:A9"/>
    <mergeCell ref="B8:B9"/>
    <mergeCell ref="C8:C9"/>
    <mergeCell ref="D8:D9"/>
    <mergeCell ref="E8:E9"/>
    <mergeCell ref="H8:H9"/>
    <mergeCell ref="I8:K8"/>
    <mergeCell ref="A4:L4"/>
    <mergeCell ref="F8:F9"/>
    <mergeCell ref="G8:G9"/>
  </mergeCells>
  <pageMargins left="0.78740157480314965" right="0" top="0.19685039370078741" bottom="0" header="0.31496062992125984" footer="0.15748031496062992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บัญชี1-1ตัวอย่าง</vt:lpstr>
      <vt:lpstr>บัญชี1-1</vt:lpstr>
    </vt:vector>
  </TitlesOfParts>
  <Company>www.easyosteam.com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Mr.KKD</dc:creator>
  <cp:lastModifiedBy>PCMD</cp:lastModifiedBy>
  <cp:lastPrinted>2024-01-04T05:02:25Z</cp:lastPrinted>
  <dcterms:created xsi:type="dcterms:W3CDTF">2020-02-18T15:48:49Z</dcterms:created>
  <dcterms:modified xsi:type="dcterms:W3CDTF">2025-12-02T06:31:22Z</dcterms:modified>
</cp:coreProperties>
</file>